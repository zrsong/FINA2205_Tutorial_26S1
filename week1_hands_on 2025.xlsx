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niwa-my.sharepoint.com/personal/00033936_uwa_edu_au/Documents/Desktop/b_ppts/2205/2025_FINA2205/week01/"/>
    </mc:Choice>
  </mc:AlternateContent>
  <xr:revisionPtr revIDLastSave="0" documentId="8_{D0A3C91E-4B56-491D-89D5-67FDBAF353CA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Geomean" sheetId="1" r:id="rId1"/>
    <sheet name="Stock_oil_prices" sheetId="3" r:id="rId2"/>
    <sheet name="House pric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D15" i="1"/>
  <c r="C14" i="1"/>
  <c r="D14" i="1" s="1"/>
  <c r="C15" i="1"/>
  <c r="C16" i="1"/>
  <c r="D16" i="1" s="1"/>
  <c r="C13" i="1"/>
  <c r="D13" i="1" s="1"/>
  <c r="C12" i="1"/>
  <c r="D12" i="1" s="1"/>
  <c r="D5" i="1"/>
  <c r="C5" i="1"/>
  <c r="C4" i="1"/>
  <c r="D4" i="1" s="1"/>
  <c r="D7" i="1" l="1"/>
  <c r="D6" i="1"/>
  <c r="C17" i="1"/>
</calcChain>
</file>

<file path=xl/sharedStrings.xml><?xml version="1.0" encoding="utf-8"?>
<sst xmlns="http://schemas.openxmlformats.org/spreadsheetml/2006/main" count="21" uniqueCount="11">
  <si>
    <t>Period</t>
  </si>
  <si>
    <t>Raw return</t>
  </si>
  <si>
    <t>R</t>
  </si>
  <si>
    <t>Gross return</t>
  </si>
  <si>
    <t>1+R</t>
  </si>
  <si>
    <t>mean</t>
  </si>
  <si>
    <t>or product()</t>
  </si>
  <si>
    <t>Geomean()</t>
  </si>
  <si>
    <t>Balance of invt</t>
  </si>
  <si>
    <t>$</t>
  </si>
  <si>
    <t>House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</si>
</sst>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390525</xdr:colOff>
      <xdr:row>0</xdr:row>
      <xdr:rowOff>152401</xdr:rowOff>
    </xdr:from>
    <xdr:to>
      <xdr:col>18</xdr:col>
      <xdr:colOff>323850</xdr:colOff>
      <xdr:row>3</xdr:row>
      <xdr:rowOff>38101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D02CF5-2534-A70F-6DA1-F321B0C0A14A}"/>
            </a:ext>
          </a:extLst>
        </xdr:cNvPr>
        <xdr:cNvSpPr txBox="1"/>
      </xdr:nvSpPr>
      <xdr:spPr>
        <a:xfrm>
          <a:off x="5581650" y="152401"/>
          <a:ext cx="6029325" cy="4572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/>
            <a:t>Please generate data in tabular format for stock price and oil price, with 200 observations. The 3 columns are dates, Nvida stock price and brent oil price</a:t>
          </a:r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I10" sqref="I10"/>
    </sheetView>
  </sheetViews>
  <sheetFormatPr defaultRowHeight="15" x14ac:dyDescent="0.25"/>
  <cols>
    <col min="2" max="2" width="12.5703125" customWidth="1"/>
    <col min="3" max="3" width="10.85546875" customWidth="1"/>
  </cols>
  <sheetData>
    <row r="1" spans="1:5" x14ac:dyDescent="0.25">
      <c r="A1" t="s">
        <v>0</v>
      </c>
      <c r="B1" t="s">
        <v>8</v>
      </c>
      <c r="C1" t="s">
        <v>1</v>
      </c>
      <c r="D1" t="s">
        <v>3</v>
      </c>
    </row>
    <row r="2" spans="1:5" x14ac:dyDescent="0.25">
      <c r="B2" t="s">
        <v>9</v>
      </c>
      <c r="C2" t="s">
        <v>2</v>
      </c>
      <c r="D2" t="s">
        <v>4</v>
      </c>
    </row>
    <row r="3" spans="1:5" x14ac:dyDescent="0.25">
      <c r="A3">
        <v>0</v>
      </c>
      <c r="B3">
        <v>100000</v>
      </c>
    </row>
    <row r="4" spans="1:5" x14ac:dyDescent="0.25">
      <c r="A4">
        <v>1</v>
      </c>
      <c r="B4">
        <v>50000</v>
      </c>
      <c r="C4">
        <f>(B4-B3)/B3</f>
        <v>-0.5</v>
      </c>
      <c r="D4">
        <f>1+C4</f>
        <v>0.5</v>
      </c>
    </row>
    <row r="5" spans="1:5" x14ac:dyDescent="0.25">
      <c r="A5" s="1">
        <v>2</v>
      </c>
      <c r="B5" s="1">
        <v>100000</v>
      </c>
      <c r="C5" s="1">
        <f>(B5-B4)/B4</f>
        <v>1</v>
      </c>
      <c r="D5" s="1">
        <f>1+C5</f>
        <v>2</v>
      </c>
    </row>
    <row r="6" spans="1:5" x14ac:dyDescent="0.25">
      <c r="B6" t="s">
        <v>5</v>
      </c>
      <c r="C6" s="2">
        <f>AVERAGE(C4:C5)</f>
        <v>0.25</v>
      </c>
      <c r="D6" s="3">
        <f>GEOMEAN(D4:D5)-1</f>
        <v>0</v>
      </c>
      <c r="E6" t="s">
        <v>7</v>
      </c>
    </row>
    <row r="7" spans="1:5" x14ac:dyDescent="0.25">
      <c r="D7" s="3">
        <f>PRODUCT(D4:D5)^(1/2)-1</f>
        <v>0</v>
      </c>
      <c r="E7" t="s">
        <v>6</v>
      </c>
    </row>
    <row r="9" spans="1:5" x14ac:dyDescent="0.25">
      <c r="A9" t="s">
        <v>0</v>
      </c>
      <c r="B9" t="s">
        <v>8</v>
      </c>
      <c r="C9" t="s">
        <v>1</v>
      </c>
      <c r="D9" t="s">
        <v>3</v>
      </c>
    </row>
    <row r="10" spans="1:5" x14ac:dyDescent="0.25">
      <c r="B10" t="s">
        <v>9</v>
      </c>
      <c r="C10" t="s">
        <v>2</v>
      </c>
      <c r="D10" t="s">
        <v>4</v>
      </c>
    </row>
    <row r="11" spans="1:5" x14ac:dyDescent="0.25">
      <c r="A11">
        <v>0</v>
      </c>
      <c r="B11">
        <v>100000</v>
      </c>
    </row>
    <row r="12" spans="1:5" x14ac:dyDescent="0.25">
      <c r="A12">
        <v>1</v>
      </c>
      <c r="B12">
        <v>50000</v>
      </c>
      <c r="C12">
        <f>(B12-B11)/B11</f>
        <v>-0.5</v>
      </c>
      <c r="D12">
        <f>1+C12</f>
        <v>0.5</v>
      </c>
    </row>
    <row r="13" spans="1:5" x14ac:dyDescent="0.25">
      <c r="A13">
        <v>2</v>
      </c>
      <c r="B13">
        <v>100000</v>
      </c>
      <c r="C13">
        <f>(B13-B12)/B12</f>
        <v>1</v>
      </c>
      <c r="D13">
        <f>1+C13</f>
        <v>2</v>
      </c>
    </row>
    <row r="14" spans="1:5" x14ac:dyDescent="0.25">
      <c r="A14">
        <v>3</v>
      </c>
      <c r="B14">
        <v>80000</v>
      </c>
      <c r="C14">
        <f t="shared" ref="C14:C16" si="0">(B14-B13)/B13</f>
        <v>-0.2</v>
      </c>
      <c r="D14">
        <f t="shared" ref="D14:D16" si="1">1+C14</f>
        <v>0.8</v>
      </c>
    </row>
    <row r="15" spans="1:5" x14ac:dyDescent="0.25">
      <c r="A15">
        <v>4</v>
      </c>
      <c r="B15">
        <v>60000</v>
      </c>
      <c r="C15">
        <f t="shared" si="0"/>
        <v>-0.25</v>
      </c>
      <c r="D15">
        <f t="shared" si="1"/>
        <v>0.75</v>
      </c>
    </row>
    <row r="16" spans="1:5" x14ac:dyDescent="0.25">
      <c r="A16" s="1">
        <v>5</v>
      </c>
      <c r="B16" s="1">
        <v>90000</v>
      </c>
      <c r="C16" s="1">
        <f t="shared" si="0"/>
        <v>0.5</v>
      </c>
      <c r="D16" s="1">
        <f t="shared" si="1"/>
        <v>1.5</v>
      </c>
    </row>
    <row r="17" spans="2:5" x14ac:dyDescent="0.25">
      <c r="B17" t="s">
        <v>5</v>
      </c>
      <c r="C17" s="2">
        <f>AVERAGE(C12:C16)</f>
        <v>0.11000000000000001</v>
      </c>
      <c r="D17" s="3"/>
      <c r="E17" t="s">
        <v>7</v>
      </c>
    </row>
    <row r="18" spans="2:5" x14ac:dyDescent="0.25">
      <c r="D18" s="3"/>
      <c r="E1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A6"/>
    </sheetView>
  </sheetViews>
  <sheetFormatPr defaultRowHeight="15" x14ac:dyDescent="0.25"/>
  <cols>
    <col min="1" max="1" width="13.85546875" bestFit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020C-C0E7-4792-822F-3ED5D4CCF5F8}">
  <dimension ref="A1:A6"/>
  <sheetViews>
    <sheetView tabSelected="1" workbookViewId="0">
      <selection activeCell="M13" sqref="M13"/>
    </sheetView>
  </sheetViews>
  <sheetFormatPr defaultRowHeight="15" x14ac:dyDescent="0.25"/>
  <cols>
    <col min="1" max="1" width="13.5703125" customWidth="1"/>
  </cols>
  <sheetData>
    <row r="1" spans="1:1" x14ac:dyDescent="0.25">
      <c r="A1" t="s">
        <v>10</v>
      </c>
    </row>
    <row r="2" spans="1:1" x14ac:dyDescent="0.25">
      <c r="A2" s="4">
        <v>2000000</v>
      </c>
    </row>
    <row r="3" spans="1:1" x14ac:dyDescent="0.25">
      <c r="A3" s="4">
        <v>500000</v>
      </c>
    </row>
    <row r="4" spans="1:1" x14ac:dyDescent="0.25">
      <c r="A4" s="4">
        <v>300000</v>
      </c>
    </row>
    <row r="5" spans="1:1" x14ac:dyDescent="0.25">
      <c r="A5" s="4">
        <v>100000</v>
      </c>
    </row>
    <row r="6" spans="1:1" x14ac:dyDescent="0.25">
      <c r="A6" s="4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Geomean</vt:lpstr>
      <vt:lpstr>Stock_oil_prices</vt:lpstr>
      <vt:lpstr>House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Yihui Lan</dc:creator>
  <cp:lastModifiedBy>YL</cp:lastModifiedBy>
  <dcterms:created xsi:type="dcterms:W3CDTF">2019-02-26T05:11:33Z</dcterms:created>
  <dcterms:modified xsi:type="dcterms:W3CDTF">2025-02-25T05:48:45Z</dcterms:modified>
</cp:coreProperties>
</file>