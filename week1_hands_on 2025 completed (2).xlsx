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00033936\Downloads\"/>
    </mc:Choice>
  </mc:AlternateContent>
  <xr:revisionPtr revIDLastSave="0" documentId="13_ncr:1_{98DBD597-2A9E-4263-B0B6-9605CBB09E65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Geomean" sheetId="1" r:id="rId1"/>
    <sheet name="Stock_oil_prices" sheetId="3" r:id="rId2"/>
    <sheet name="House prices" sheetId="4" r:id="rId3"/>
  </sheets>
  <definedNames>
    <definedName name="_xlchart.v1.0" hidden="1">Stock_oil_prices!$E$2</definedName>
    <definedName name="_xlchart.v1.1" hidden="1">Stock_oil_prices!$E$3:$E$201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E3" i="3"/>
  <c r="D4" i="3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D72" i="3"/>
  <c r="E72" i="3"/>
  <c r="D73" i="3"/>
  <c r="E73" i="3"/>
  <c r="D74" i="3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6" i="3"/>
  <c r="E96" i="3"/>
  <c r="D97" i="3"/>
  <c r="E97" i="3"/>
  <c r="D98" i="3"/>
  <c r="E98" i="3"/>
  <c r="D99" i="3"/>
  <c r="E99" i="3"/>
  <c r="D100" i="3"/>
  <c r="E100" i="3"/>
  <c r="D101" i="3"/>
  <c r="E101" i="3"/>
  <c r="D102" i="3"/>
  <c r="E102" i="3"/>
  <c r="D103" i="3"/>
  <c r="E103" i="3"/>
  <c r="D104" i="3"/>
  <c r="E104" i="3"/>
  <c r="D105" i="3"/>
  <c r="E105" i="3"/>
  <c r="D106" i="3"/>
  <c r="E106" i="3"/>
  <c r="D107" i="3"/>
  <c r="E107" i="3"/>
  <c r="D108" i="3"/>
  <c r="E108" i="3"/>
  <c r="D109" i="3"/>
  <c r="E109" i="3"/>
  <c r="D110" i="3"/>
  <c r="E110" i="3"/>
  <c r="D111" i="3"/>
  <c r="E111" i="3"/>
  <c r="D112" i="3"/>
  <c r="E112" i="3"/>
  <c r="D113" i="3"/>
  <c r="E113" i="3"/>
  <c r="D114" i="3"/>
  <c r="E114" i="3"/>
  <c r="D115" i="3"/>
  <c r="E115" i="3"/>
  <c r="D116" i="3"/>
  <c r="E116" i="3"/>
  <c r="D117" i="3"/>
  <c r="E117" i="3"/>
  <c r="D118" i="3"/>
  <c r="E118" i="3"/>
  <c r="D119" i="3"/>
  <c r="E119" i="3"/>
  <c r="D120" i="3"/>
  <c r="E120" i="3"/>
  <c r="D121" i="3"/>
  <c r="E121" i="3"/>
  <c r="D122" i="3"/>
  <c r="E122" i="3"/>
  <c r="D123" i="3"/>
  <c r="E123" i="3"/>
  <c r="D124" i="3"/>
  <c r="E124" i="3"/>
  <c r="D125" i="3"/>
  <c r="E125" i="3"/>
  <c r="D126" i="3"/>
  <c r="E126" i="3"/>
  <c r="D127" i="3"/>
  <c r="E127" i="3"/>
  <c r="D128" i="3"/>
  <c r="E128" i="3"/>
  <c r="D129" i="3"/>
  <c r="E129" i="3"/>
  <c r="D130" i="3"/>
  <c r="E130" i="3"/>
  <c r="D131" i="3"/>
  <c r="E131" i="3"/>
  <c r="D132" i="3"/>
  <c r="E132" i="3"/>
  <c r="D133" i="3"/>
  <c r="E133" i="3"/>
  <c r="D134" i="3"/>
  <c r="E134" i="3"/>
  <c r="D135" i="3"/>
  <c r="E135" i="3"/>
  <c r="D136" i="3"/>
  <c r="E136" i="3"/>
  <c r="D137" i="3"/>
  <c r="E137" i="3"/>
  <c r="D138" i="3"/>
  <c r="E138" i="3"/>
  <c r="D139" i="3"/>
  <c r="E139" i="3"/>
  <c r="D140" i="3"/>
  <c r="E140" i="3"/>
  <c r="D141" i="3"/>
  <c r="E141" i="3"/>
  <c r="D142" i="3"/>
  <c r="E142" i="3"/>
  <c r="D143" i="3"/>
  <c r="E143" i="3"/>
  <c r="D144" i="3"/>
  <c r="E144" i="3"/>
  <c r="D145" i="3"/>
  <c r="E145" i="3"/>
  <c r="D146" i="3"/>
  <c r="E146" i="3"/>
  <c r="D147" i="3"/>
  <c r="E147" i="3"/>
  <c r="D148" i="3"/>
  <c r="E148" i="3"/>
  <c r="D149" i="3"/>
  <c r="E149" i="3"/>
  <c r="D150" i="3"/>
  <c r="E150" i="3"/>
  <c r="D151" i="3"/>
  <c r="E151" i="3"/>
  <c r="D152" i="3"/>
  <c r="E152" i="3"/>
  <c r="D153" i="3"/>
  <c r="E153" i="3"/>
  <c r="D154" i="3"/>
  <c r="E154" i="3"/>
  <c r="D155" i="3"/>
  <c r="E155" i="3"/>
  <c r="D156" i="3"/>
  <c r="E156" i="3"/>
  <c r="D157" i="3"/>
  <c r="E157" i="3"/>
  <c r="D158" i="3"/>
  <c r="E158" i="3"/>
  <c r="D159" i="3"/>
  <c r="E159" i="3"/>
  <c r="D160" i="3"/>
  <c r="E160" i="3"/>
  <c r="D161" i="3"/>
  <c r="E161" i="3"/>
  <c r="D162" i="3"/>
  <c r="E162" i="3"/>
  <c r="D163" i="3"/>
  <c r="E163" i="3"/>
  <c r="D164" i="3"/>
  <c r="E164" i="3"/>
  <c r="D165" i="3"/>
  <c r="E165" i="3"/>
  <c r="D166" i="3"/>
  <c r="E166" i="3"/>
  <c r="D167" i="3"/>
  <c r="E167" i="3"/>
  <c r="D168" i="3"/>
  <c r="E168" i="3"/>
  <c r="D169" i="3"/>
  <c r="E169" i="3"/>
  <c r="D170" i="3"/>
  <c r="E170" i="3"/>
  <c r="D171" i="3"/>
  <c r="E171" i="3"/>
  <c r="D172" i="3"/>
  <c r="E172" i="3"/>
  <c r="D173" i="3"/>
  <c r="E173" i="3"/>
  <c r="D174" i="3"/>
  <c r="E174" i="3"/>
  <c r="D175" i="3"/>
  <c r="E175" i="3"/>
  <c r="D176" i="3"/>
  <c r="E176" i="3"/>
  <c r="D177" i="3"/>
  <c r="E177" i="3"/>
  <c r="D178" i="3"/>
  <c r="E178" i="3"/>
  <c r="D179" i="3"/>
  <c r="E179" i="3"/>
  <c r="D180" i="3"/>
  <c r="E180" i="3"/>
  <c r="D181" i="3"/>
  <c r="E181" i="3"/>
  <c r="D182" i="3"/>
  <c r="E182" i="3"/>
  <c r="D183" i="3"/>
  <c r="E183" i="3"/>
  <c r="D184" i="3"/>
  <c r="E184" i="3"/>
  <c r="D185" i="3"/>
  <c r="E185" i="3"/>
  <c r="D186" i="3"/>
  <c r="E186" i="3"/>
  <c r="D187" i="3"/>
  <c r="E187" i="3"/>
  <c r="D188" i="3"/>
  <c r="E188" i="3"/>
  <c r="D189" i="3"/>
  <c r="E189" i="3"/>
  <c r="D190" i="3"/>
  <c r="E190" i="3"/>
  <c r="D191" i="3"/>
  <c r="E191" i="3"/>
  <c r="D192" i="3"/>
  <c r="E192" i="3"/>
  <c r="D193" i="3"/>
  <c r="E193" i="3"/>
  <c r="D194" i="3"/>
  <c r="E194" i="3"/>
  <c r="D195" i="3"/>
  <c r="E195" i="3"/>
  <c r="D196" i="3"/>
  <c r="E196" i="3"/>
  <c r="D197" i="3"/>
  <c r="E197" i="3"/>
  <c r="D198" i="3"/>
  <c r="E198" i="3"/>
  <c r="D199" i="3"/>
  <c r="E199" i="3"/>
  <c r="D200" i="3"/>
  <c r="E200" i="3"/>
  <c r="D201" i="3"/>
  <c r="E201" i="3"/>
  <c r="D3" i="3"/>
  <c r="D20" i="1"/>
  <c r="C20" i="1"/>
  <c r="D7" i="1"/>
  <c r="D6" i="1"/>
  <c r="C6" i="1"/>
  <c r="D15" i="1"/>
  <c r="C14" i="1"/>
  <c r="D14" i="1" s="1"/>
  <c r="C15" i="1"/>
  <c r="C16" i="1"/>
  <c r="D16" i="1" s="1"/>
  <c r="C13" i="1"/>
  <c r="D13" i="1" s="1"/>
  <c r="C12" i="1"/>
  <c r="D12" i="1" s="1"/>
  <c r="D5" i="1"/>
  <c r="C5" i="1"/>
  <c r="C4" i="1"/>
  <c r="D4" i="1" s="1"/>
  <c r="C17" i="1" l="1"/>
</calcChain>
</file>

<file path=xl/sharedStrings.xml><?xml version="1.0" encoding="utf-8"?>
<sst xmlns="http://schemas.openxmlformats.org/spreadsheetml/2006/main" count="55" uniqueCount="29">
  <si>
    <t>Period</t>
  </si>
  <si>
    <t>Raw return</t>
  </si>
  <si>
    <t>R</t>
  </si>
  <si>
    <t>Gross return</t>
  </si>
  <si>
    <t>1+R</t>
  </si>
  <si>
    <t>mean</t>
  </si>
  <si>
    <t>or product()</t>
  </si>
  <si>
    <t>Geomean()</t>
  </si>
  <si>
    <t>Balance of invt</t>
  </si>
  <si>
    <t>$</t>
  </si>
  <si>
    <t>House Prices</t>
  </si>
  <si>
    <t>Nvidia_Stock_Price</t>
  </si>
  <si>
    <t>Brent_Oil_Price</t>
  </si>
  <si>
    <t>Nvidia Rt</t>
  </si>
  <si>
    <t>Oil Rt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</si>
  <si>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</si>
  <si>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</si>
  <si>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</si>
  <si>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</si>
  <si>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</si>
  <si>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</si>
  <si>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</si>
  <si>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</si>
  <si>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</si>
  <si>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</si>
  <si>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</si>
  <si>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</si>
  <si>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</si>
  <si>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wrongly used net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</si>
</sst>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165" fontId="0" fillId="0" borderId="0" xfId="1" applyNumberFormat="1" applyFont="1"/>
    <xf numFmtId="0" fontId="2" fillId="0" borderId="0" xfId="0" applyFont="1"/>
    <xf numFmtId="14" fontId="0" fillId="0" borderId="0" xfId="0" applyNumberFormat="1"/>
    <xf numFmtId="0" fontId="0" fillId="0" borderId="0" xfId="0"/>
    <xf numFmtId="0" fontId="3" fillId="0" borderId="2" xfId="0" applyFont="1" applyBorder="1" applyAlignment="1">
      <alignment horizontal="center" vertical="top"/>
    </xf>
    <xf numFmtId="10" fontId="0" fillId="0" borderId="0" xfId="2" applyNumberFormat="1" applyFont="1"/>
    <xf numFmtId="0" fontId="0" fillId="0" borderId="0" xfId="0" applyFill="1" applyBorder="1" applyAlignment="1"/>
    <xf numFmtId="0" fontId="0" fillId="0" borderId="3" xfId="0" applyFill="1" applyBorder="1" applyAlignment="1"/>
    <xf numFmtId="0" fontId="4" fillId="0" borderId="4" xfId="0" applyFont="1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Stock_oil_prices!$E$1</c:f>
              <c:strCache>
                <c:ptCount val="1"/>
                <c:pt idx="0">
                  <c:v>Oil 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Stock_oil_prices!$D$2:$D$201</c:f>
              <c:numCache>
                <c:formatCode>0.00%</c:formatCode>
                <c:ptCount val="200"/>
                <c:pt idx="1">
                  <c:v>3.8521603331598264E-3</c:v>
                </c:pt>
                <c:pt idx="2">
                  <c:v>-6.9487658162207255E-3</c:v>
                </c:pt>
                <c:pt idx="3">
                  <c:v>5.7441253263708081E-3</c:v>
                </c:pt>
                <c:pt idx="4">
                  <c:v>5.6074766355140859E-3</c:v>
                </c:pt>
                <c:pt idx="5">
                  <c:v>3.5109458901281254E-3</c:v>
                </c:pt>
                <c:pt idx="6">
                  <c:v>4.3218769294093295E-3</c:v>
                </c:pt>
                <c:pt idx="7">
                  <c:v>4.4057377049180335E-3</c:v>
                </c:pt>
                <c:pt idx="8">
                  <c:v>-4.7944506783637042E-3</c:v>
                </c:pt>
                <c:pt idx="9">
                  <c:v>-3.1775317753177656E-3</c:v>
                </c:pt>
                <c:pt idx="10">
                  <c:v>-1.2339331619537264E-2</c:v>
                </c:pt>
                <c:pt idx="11">
                  <c:v>3.8521603331598264E-3</c:v>
                </c:pt>
                <c:pt idx="12">
                  <c:v>-6.9487658162207255E-3</c:v>
                </c:pt>
                <c:pt idx="13">
                  <c:v>5.7441253263708081E-3</c:v>
                </c:pt>
                <c:pt idx="14">
                  <c:v>5.6074766355140859E-3</c:v>
                </c:pt>
                <c:pt idx="15">
                  <c:v>3.5109458901281254E-3</c:v>
                </c:pt>
                <c:pt idx="16">
                  <c:v>4.3218769294093295E-3</c:v>
                </c:pt>
                <c:pt idx="17">
                  <c:v>4.4057377049180335E-3</c:v>
                </c:pt>
                <c:pt idx="18">
                  <c:v>-4.7944506783637042E-3</c:v>
                </c:pt>
                <c:pt idx="19">
                  <c:v>-3.1775317753177656E-3</c:v>
                </c:pt>
                <c:pt idx="20">
                  <c:v>-1.2339331619537264E-2</c:v>
                </c:pt>
                <c:pt idx="21">
                  <c:v>3.8521603331598264E-3</c:v>
                </c:pt>
                <c:pt idx="22">
                  <c:v>-6.9487658162207255E-3</c:v>
                </c:pt>
                <c:pt idx="23">
                  <c:v>5.7441253263708081E-3</c:v>
                </c:pt>
                <c:pt idx="24">
                  <c:v>5.6074766355140859E-3</c:v>
                </c:pt>
                <c:pt idx="25">
                  <c:v>3.5109458901281254E-3</c:v>
                </c:pt>
                <c:pt idx="26">
                  <c:v>4.3218769294093295E-3</c:v>
                </c:pt>
                <c:pt idx="27">
                  <c:v>4.4057377049180335E-3</c:v>
                </c:pt>
                <c:pt idx="28">
                  <c:v>-4.7944506783637042E-3</c:v>
                </c:pt>
                <c:pt idx="29">
                  <c:v>-3.1775317753177656E-3</c:v>
                </c:pt>
                <c:pt idx="30">
                  <c:v>-1.2339331619537264E-2</c:v>
                </c:pt>
                <c:pt idx="31">
                  <c:v>3.8521603331598264E-3</c:v>
                </c:pt>
                <c:pt idx="32">
                  <c:v>-6.9487658162207255E-3</c:v>
                </c:pt>
                <c:pt idx="33">
                  <c:v>5.7441253263708081E-3</c:v>
                </c:pt>
                <c:pt idx="34">
                  <c:v>5.6074766355140859E-3</c:v>
                </c:pt>
                <c:pt idx="35">
                  <c:v>3.5109458901281254E-3</c:v>
                </c:pt>
                <c:pt idx="36">
                  <c:v>4.3218769294093295E-3</c:v>
                </c:pt>
                <c:pt idx="37">
                  <c:v>4.4057377049180335E-3</c:v>
                </c:pt>
                <c:pt idx="38">
                  <c:v>-4.7944506783637042E-3</c:v>
                </c:pt>
                <c:pt idx="39">
                  <c:v>-3.1775317753177656E-3</c:v>
                </c:pt>
                <c:pt idx="40">
                  <c:v>-1.2339331619537264E-2</c:v>
                </c:pt>
                <c:pt idx="41">
                  <c:v>3.8521603331598264E-3</c:v>
                </c:pt>
                <c:pt idx="42">
                  <c:v>-6.9487658162207255E-3</c:v>
                </c:pt>
                <c:pt idx="43">
                  <c:v>5.7441253263708081E-3</c:v>
                </c:pt>
                <c:pt idx="44">
                  <c:v>5.6074766355140859E-3</c:v>
                </c:pt>
                <c:pt idx="45">
                  <c:v>3.5109458901281254E-3</c:v>
                </c:pt>
                <c:pt idx="46">
                  <c:v>4.3218769294093295E-3</c:v>
                </c:pt>
                <c:pt idx="47">
                  <c:v>4.4057377049180335E-3</c:v>
                </c:pt>
                <c:pt idx="48">
                  <c:v>-4.7944506783637042E-3</c:v>
                </c:pt>
                <c:pt idx="49">
                  <c:v>-3.1775317753177656E-3</c:v>
                </c:pt>
                <c:pt idx="50">
                  <c:v>-1.2339331619537264E-2</c:v>
                </c:pt>
                <c:pt idx="51">
                  <c:v>3.8521603331598264E-3</c:v>
                </c:pt>
                <c:pt idx="52">
                  <c:v>-6.9487658162207255E-3</c:v>
                </c:pt>
                <c:pt idx="53">
                  <c:v>5.7441253263708081E-3</c:v>
                </c:pt>
                <c:pt idx="54">
                  <c:v>5.6074766355140859E-3</c:v>
                </c:pt>
                <c:pt idx="55">
                  <c:v>3.5109458901281254E-3</c:v>
                </c:pt>
                <c:pt idx="56">
                  <c:v>4.3218769294093295E-3</c:v>
                </c:pt>
                <c:pt idx="57">
                  <c:v>4.4057377049180335E-3</c:v>
                </c:pt>
                <c:pt idx="58">
                  <c:v>-4.7944506783637042E-3</c:v>
                </c:pt>
                <c:pt idx="59">
                  <c:v>-3.1775317753177656E-3</c:v>
                </c:pt>
                <c:pt idx="60">
                  <c:v>-1.2339331619537264E-2</c:v>
                </c:pt>
                <c:pt idx="61">
                  <c:v>3.8521603331598264E-3</c:v>
                </c:pt>
                <c:pt idx="62">
                  <c:v>-6.9487658162207255E-3</c:v>
                </c:pt>
                <c:pt idx="63">
                  <c:v>5.7441253263708081E-3</c:v>
                </c:pt>
                <c:pt idx="64">
                  <c:v>5.6074766355140859E-3</c:v>
                </c:pt>
                <c:pt idx="65">
                  <c:v>3.5109458901281254E-3</c:v>
                </c:pt>
                <c:pt idx="66">
                  <c:v>4.3218769294093295E-3</c:v>
                </c:pt>
                <c:pt idx="67">
                  <c:v>4.4057377049180335E-3</c:v>
                </c:pt>
                <c:pt idx="68">
                  <c:v>-4.7944506783637042E-3</c:v>
                </c:pt>
                <c:pt idx="69">
                  <c:v>-3.1775317753177656E-3</c:v>
                </c:pt>
                <c:pt idx="70">
                  <c:v>-1.2339331619537264E-2</c:v>
                </c:pt>
                <c:pt idx="71">
                  <c:v>3.8521603331598264E-3</c:v>
                </c:pt>
                <c:pt idx="72">
                  <c:v>-6.9487658162207255E-3</c:v>
                </c:pt>
                <c:pt idx="73">
                  <c:v>5.7441253263708081E-3</c:v>
                </c:pt>
                <c:pt idx="74">
                  <c:v>5.6074766355140859E-3</c:v>
                </c:pt>
                <c:pt idx="75">
                  <c:v>3.5109458901281254E-3</c:v>
                </c:pt>
                <c:pt idx="76">
                  <c:v>4.3218769294093295E-3</c:v>
                </c:pt>
                <c:pt idx="77">
                  <c:v>4.4057377049180335E-3</c:v>
                </c:pt>
                <c:pt idx="78">
                  <c:v>-4.7944506783637042E-3</c:v>
                </c:pt>
                <c:pt idx="79">
                  <c:v>-3.1775317753177656E-3</c:v>
                </c:pt>
                <c:pt idx="80">
                  <c:v>-1.2339331619537264E-2</c:v>
                </c:pt>
                <c:pt idx="81">
                  <c:v>3.8521603331598264E-3</c:v>
                </c:pt>
                <c:pt idx="82">
                  <c:v>-6.9487658162207255E-3</c:v>
                </c:pt>
                <c:pt idx="83">
                  <c:v>5.7441253263708081E-3</c:v>
                </c:pt>
                <c:pt idx="84">
                  <c:v>5.6074766355140859E-3</c:v>
                </c:pt>
                <c:pt idx="85">
                  <c:v>3.5109458901281254E-3</c:v>
                </c:pt>
                <c:pt idx="86">
                  <c:v>4.3218769294093295E-3</c:v>
                </c:pt>
                <c:pt idx="87">
                  <c:v>4.4057377049180335E-3</c:v>
                </c:pt>
                <c:pt idx="88">
                  <c:v>-4.7944506783637042E-3</c:v>
                </c:pt>
                <c:pt idx="89">
                  <c:v>-3.1775317753177656E-3</c:v>
                </c:pt>
                <c:pt idx="90">
                  <c:v>-1.2339331619537264E-2</c:v>
                </c:pt>
                <c:pt idx="91">
                  <c:v>3.8521603331598264E-3</c:v>
                </c:pt>
                <c:pt idx="92">
                  <c:v>-6.9487658162207255E-3</c:v>
                </c:pt>
                <c:pt idx="93">
                  <c:v>5.7441253263708081E-3</c:v>
                </c:pt>
                <c:pt idx="94">
                  <c:v>5.6074766355140859E-3</c:v>
                </c:pt>
                <c:pt idx="95">
                  <c:v>3.5109458901281254E-3</c:v>
                </c:pt>
                <c:pt idx="96">
                  <c:v>4.3218769294093295E-3</c:v>
                </c:pt>
                <c:pt idx="97">
                  <c:v>4.4057377049180335E-3</c:v>
                </c:pt>
                <c:pt idx="98">
                  <c:v>-4.7944506783637042E-3</c:v>
                </c:pt>
                <c:pt idx="99">
                  <c:v>-3.1775317753177656E-3</c:v>
                </c:pt>
                <c:pt idx="100">
                  <c:v>-1.2339331619537264E-2</c:v>
                </c:pt>
                <c:pt idx="101">
                  <c:v>3.8521603331598264E-3</c:v>
                </c:pt>
                <c:pt idx="102">
                  <c:v>-6.9487658162207255E-3</c:v>
                </c:pt>
                <c:pt idx="103">
                  <c:v>5.7441253263708081E-3</c:v>
                </c:pt>
                <c:pt idx="104">
                  <c:v>5.6074766355140859E-3</c:v>
                </c:pt>
                <c:pt idx="105">
                  <c:v>3.5109458901281254E-3</c:v>
                </c:pt>
                <c:pt idx="106">
                  <c:v>4.3218769294093295E-3</c:v>
                </c:pt>
                <c:pt idx="107">
                  <c:v>4.4057377049180335E-3</c:v>
                </c:pt>
                <c:pt idx="108">
                  <c:v>-4.7944506783637042E-3</c:v>
                </c:pt>
                <c:pt idx="109">
                  <c:v>-3.1775317753177656E-3</c:v>
                </c:pt>
                <c:pt idx="110">
                  <c:v>-1.2339331619537264E-2</c:v>
                </c:pt>
                <c:pt idx="111">
                  <c:v>3.8521603331598264E-3</c:v>
                </c:pt>
                <c:pt idx="112">
                  <c:v>-6.9487658162207255E-3</c:v>
                </c:pt>
                <c:pt idx="113">
                  <c:v>5.7441253263708081E-3</c:v>
                </c:pt>
                <c:pt idx="114">
                  <c:v>5.6074766355140859E-3</c:v>
                </c:pt>
                <c:pt idx="115">
                  <c:v>3.5109458901281254E-3</c:v>
                </c:pt>
                <c:pt idx="116">
                  <c:v>4.3218769294093295E-3</c:v>
                </c:pt>
                <c:pt idx="117">
                  <c:v>4.4057377049180335E-3</c:v>
                </c:pt>
                <c:pt idx="118">
                  <c:v>-4.7944506783637042E-3</c:v>
                </c:pt>
                <c:pt idx="119">
                  <c:v>-3.1775317753177656E-3</c:v>
                </c:pt>
                <c:pt idx="120">
                  <c:v>-1.2339331619537264E-2</c:v>
                </c:pt>
                <c:pt idx="121">
                  <c:v>3.8521603331598264E-3</c:v>
                </c:pt>
                <c:pt idx="122">
                  <c:v>-6.9487658162207255E-3</c:v>
                </c:pt>
                <c:pt idx="123">
                  <c:v>5.7441253263708081E-3</c:v>
                </c:pt>
                <c:pt idx="124">
                  <c:v>5.6074766355140859E-3</c:v>
                </c:pt>
                <c:pt idx="125">
                  <c:v>3.5109458901281254E-3</c:v>
                </c:pt>
                <c:pt idx="126">
                  <c:v>4.3218769294093295E-3</c:v>
                </c:pt>
                <c:pt idx="127">
                  <c:v>4.4057377049180335E-3</c:v>
                </c:pt>
                <c:pt idx="128">
                  <c:v>-4.7944506783637042E-3</c:v>
                </c:pt>
                <c:pt idx="129">
                  <c:v>-3.1775317753177656E-3</c:v>
                </c:pt>
                <c:pt idx="130">
                  <c:v>-1.2339331619537264E-2</c:v>
                </c:pt>
                <c:pt idx="131">
                  <c:v>3.8521603331598264E-3</c:v>
                </c:pt>
                <c:pt idx="132">
                  <c:v>-6.9487658162207255E-3</c:v>
                </c:pt>
                <c:pt idx="133">
                  <c:v>5.7441253263708081E-3</c:v>
                </c:pt>
                <c:pt idx="134">
                  <c:v>5.6074766355140859E-3</c:v>
                </c:pt>
                <c:pt idx="135">
                  <c:v>3.5109458901281254E-3</c:v>
                </c:pt>
                <c:pt idx="136">
                  <c:v>4.3218769294093295E-3</c:v>
                </c:pt>
                <c:pt idx="137">
                  <c:v>4.4057377049180335E-3</c:v>
                </c:pt>
                <c:pt idx="138">
                  <c:v>-4.7944506783637042E-3</c:v>
                </c:pt>
                <c:pt idx="139">
                  <c:v>-3.1775317753177656E-3</c:v>
                </c:pt>
                <c:pt idx="140">
                  <c:v>-1.2339331619537264E-2</c:v>
                </c:pt>
                <c:pt idx="141">
                  <c:v>3.8521603331598264E-3</c:v>
                </c:pt>
                <c:pt idx="142">
                  <c:v>-6.9487658162207255E-3</c:v>
                </c:pt>
                <c:pt idx="143">
                  <c:v>5.7441253263708081E-3</c:v>
                </c:pt>
                <c:pt idx="144">
                  <c:v>5.6074766355140859E-3</c:v>
                </c:pt>
                <c:pt idx="145">
                  <c:v>3.5109458901281254E-3</c:v>
                </c:pt>
                <c:pt idx="146">
                  <c:v>4.3218769294093295E-3</c:v>
                </c:pt>
                <c:pt idx="147">
                  <c:v>4.4057377049180335E-3</c:v>
                </c:pt>
                <c:pt idx="148">
                  <c:v>-4.7944506783637042E-3</c:v>
                </c:pt>
                <c:pt idx="149">
                  <c:v>-3.1775317753177656E-3</c:v>
                </c:pt>
                <c:pt idx="150">
                  <c:v>-1.2339331619537264E-2</c:v>
                </c:pt>
                <c:pt idx="151">
                  <c:v>3.8521603331598264E-3</c:v>
                </c:pt>
                <c:pt idx="152">
                  <c:v>-6.9487658162207255E-3</c:v>
                </c:pt>
                <c:pt idx="153">
                  <c:v>5.7441253263708081E-3</c:v>
                </c:pt>
                <c:pt idx="154">
                  <c:v>5.6074766355140859E-3</c:v>
                </c:pt>
                <c:pt idx="155">
                  <c:v>3.5109458901281254E-3</c:v>
                </c:pt>
                <c:pt idx="156">
                  <c:v>4.3218769294093295E-3</c:v>
                </c:pt>
                <c:pt idx="157">
                  <c:v>4.4057377049180335E-3</c:v>
                </c:pt>
                <c:pt idx="158">
                  <c:v>-4.7944506783637042E-3</c:v>
                </c:pt>
                <c:pt idx="159">
                  <c:v>-3.1775317753177656E-3</c:v>
                </c:pt>
                <c:pt idx="160">
                  <c:v>-1.2339331619537264E-2</c:v>
                </c:pt>
                <c:pt idx="161">
                  <c:v>3.8521603331598264E-3</c:v>
                </c:pt>
                <c:pt idx="162">
                  <c:v>-6.9487658162207255E-3</c:v>
                </c:pt>
                <c:pt idx="163">
                  <c:v>5.7441253263708081E-3</c:v>
                </c:pt>
                <c:pt idx="164">
                  <c:v>5.6074766355140859E-3</c:v>
                </c:pt>
                <c:pt idx="165">
                  <c:v>3.5109458901281254E-3</c:v>
                </c:pt>
                <c:pt idx="166">
                  <c:v>4.3218769294093295E-3</c:v>
                </c:pt>
                <c:pt idx="167">
                  <c:v>4.4057377049180335E-3</c:v>
                </c:pt>
                <c:pt idx="168">
                  <c:v>-4.7944506783637042E-3</c:v>
                </c:pt>
                <c:pt idx="169">
                  <c:v>-3.1775317753177656E-3</c:v>
                </c:pt>
                <c:pt idx="170">
                  <c:v>-1.2339331619537264E-2</c:v>
                </c:pt>
                <c:pt idx="171">
                  <c:v>3.8521603331598264E-3</c:v>
                </c:pt>
                <c:pt idx="172">
                  <c:v>-6.9487658162207255E-3</c:v>
                </c:pt>
                <c:pt idx="173">
                  <c:v>5.7441253263708081E-3</c:v>
                </c:pt>
                <c:pt idx="174">
                  <c:v>5.6074766355140859E-3</c:v>
                </c:pt>
                <c:pt idx="175">
                  <c:v>3.5109458901281254E-3</c:v>
                </c:pt>
                <c:pt idx="176">
                  <c:v>4.3218769294093295E-3</c:v>
                </c:pt>
                <c:pt idx="177">
                  <c:v>4.4057377049180335E-3</c:v>
                </c:pt>
                <c:pt idx="178">
                  <c:v>-4.7944506783637042E-3</c:v>
                </c:pt>
                <c:pt idx="179">
                  <c:v>-3.1775317753177656E-3</c:v>
                </c:pt>
                <c:pt idx="180">
                  <c:v>-1.2339331619537264E-2</c:v>
                </c:pt>
                <c:pt idx="181">
                  <c:v>3.8521603331598264E-3</c:v>
                </c:pt>
                <c:pt idx="182">
                  <c:v>-6.9487658162207255E-3</c:v>
                </c:pt>
                <c:pt idx="183">
                  <c:v>5.7441253263708081E-3</c:v>
                </c:pt>
                <c:pt idx="184">
                  <c:v>5.6074766355140859E-3</c:v>
                </c:pt>
                <c:pt idx="185">
                  <c:v>3.5109458901281254E-3</c:v>
                </c:pt>
                <c:pt idx="186">
                  <c:v>4.3218769294093295E-3</c:v>
                </c:pt>
                <c:pt idx="187">
                  <c:v>4.4057377049180335E-3</c:v>
                </c:pt>
                <c:pt idx="188">
                  <c:v>-4.7944506783637042E-3</c:v>
                </c:pt>
                <c:pt idx="189">
                  <c:v>-3.1775317753177656E-3</c:v>
                </c:pt>
                <c:pt idx="190">
                  <c:v>-1.2339331619537264E-2</c:v>
                </c:pt>
                <c:pt idx="191">
                  <c:v>3.8521603331598264E-3</c:v>
                </c:pt>
                <c:pt idx="192">
                  <c:v>-6.9487658162207255E-3</c:v>
                </c:pt>
                <c:pt idx="193">
                  <c:v>5.7441253263708081E-3</c:v>
                </c:pt>
                <c:pt idx="194">
                  <c:v>5.6074766355140859E-3</c:v>
                </c:pt>
                <c:pt idx="195">
                  <c:v>3.5109458901281254E-3</c:v>
                </c:pt>
                <c:pt idx="196">
                  <c:v>4.3218769294093295E-3</c:v>
                </c:pt>
                <c:pt idx="197">
                  <c:v>4.4057377049180335E-3</c:v>
                </c:pt>
                <c:pt idx="198">
                  <c:v>-4.7944506783637042E-3</c:v>
                </c:pt>
                <c:pt idx="199">
                  <c:v>-3.1775317753177656E-3</c:v>
                </c:pt>
              </c:numCache>
            </c:numRef>
          </c:xVal>
          <c:yVal>
            <c:numRef>
              <c:f>Stock_oil_prices!$E$2:$E$201</c:f>
              <c:numCache>
                <c:formatCode>0.00%</c:formatCode>
                <c:ptCount val="200"/>
                <c:pt idx="1">
                  <c:v>8.0872011251760245E-3</c:v>
                </c:pt>
                <c:pt idx="2">
                  <c:v>-1.2324148354842523E-2</c:v>
                </c:pt>
                <c:pt idx="3">
                  <c:v>7.6515597410240499E-3</c:v>
                </c:pt>
                <c:pt idx="4">
                  <c:v>9.9299065420561661E-3</c:v>
                </c:pt>
                <c:pt idx="5">
                  <c:v>7.5187969924810361E-3</c:v>
                </c:pt>
                <c:pt idx="6">
                  <c:v>7.4626865671643117E-3</c:v>
                </c:pt>
                <c:pt idx="7">
                  <c:v>7.4074074074075291E-3</c:v>
                </c:pt>
                <c:pt idx="8">
                  <c:v>-5.090497737556543E-3</c:v>
                </c:pt>
                <c:pt idx="9">
                  <c:v>-8.5275724843660861E-3</c:v>
                </c:pt>
                <c:pt idx="10">
                  <c:v>-2.1559633027523062E-2</c:v>
                </c:pt>
                <c:pt idx="11">
                  <c:v>8.0872011251760245E-3</c:v>
                </c:pt>
                <c:pt idx="12">
                  <c:v>-1.2324148354842523E-2</c:v>
                </c:pt>
                <c:pt idx="13">
                  <c:v>7.6515597410240499E-3</c:v>
                </c:pt>
                <c:pt idx="14">
                  <c:v>9.9299065420561661E-3</c:v>
                </c:pt>
                <c:pt idx="15">
                  <c:v>7.5187969924810361E-3</c:v>
                </c:pt>
                <c:pt idx="16">
                  <c:v>7.4626865671643117E-3</c:v>
                </c:pt>
                <c:pt idx="17">
                  <c:v>7.4074074074075291E-3</c:v>
                </c:pt>
                <c:pt idx="18">
                  <c:v>-5.090497737556543E-3</c:v>
                </c:pt>
                <c:pt idx="19">
                  <c:v>-8.5275724843660861E-3</c:v>
                </c:pt>
                <c:pt idx="20">
                  <c:v>-2.1559633027523062E-2</c:v>
                </c:pt>
                <c:pt idx="21">
                  <c:v>8.0872011251760245E-3</c:v>
                </c:pt>
                <c:pt idx="22">
                  <c:v>-1.2324148354842523E-2</c:v>
                </c:pt>
                <c:pt idx="23">
                  <c:v>7.6515597410240499E-3</c:v>
                </c:pt>
                <c:pt idx="24">
                  <c:v>9.9299065420561661E-3</c:v>
                </c:pt>
                <c:pt idx="25">
                  <c:v>7.5187969924810361E-3</c:v>
                </c:pt>
                <c:pt idx="26">
                  <c:v>7.4626865671643117E-3</c:v>
                </c:pt>
                <c:pt idx="27">
                  <c:v>7.4074074074075291E-3</c:v>
                </c:pt>
                <c:pt idx="28">
                  <c:v>-5.090497737556543E-3</c:v>
                </c:pt>
                <c:pt idx="29">
                  <c:v>-8.5275724843660861E-3</c:v>
                </c:pt>
                <c:pt idx="30">
                  <c:v>-2.1559633027523062E-2</c:v>
                </c:pt>
                <c:pt idx="31">
                  <c:v>8.0872011251760245E-3</c:v>
                </c:pt>
                <c:pt idx="32">
                  <c:v>-1.2324148354842523E-2</c:v>
                </c:pt>
                <c:pt idx="33">
                  <c:v>7.6515597410240499E-3</c:v>
                </c:pt>
                <c:pt idx="34">
                  <c:v>9.9299065420561661E-3</c:v>
                </c:pt>
                <c:pt idx="35">
                  <c:v>7.5187969924810361E-3</c:v>
                </c:pt>
                <c:pt idx="36">
                  <c:v>7.4626865671643117E-3</c:v>
                </c:pt>
                <c:pt idx="37">
                  <c:v>7.4074074074075291E-3</c:v>
                </c:pt>
                <c:pt idx="38">
                  <c:v>-5.090497737556543E-3</c:v>
                </c:pt>
                <c:pt idx="39">
                  <c:v>-8.5275724843660861E-3</c:v>
                </c:pt>
                <c:pt idx="40">
                  <c:v>-2.1559633027523062E-2</c:v>
                </c:pt>
                <c:pt idx="41">
                  <c:v>8.0872011251760245E-3</c:v>
                </c:pt>
                <c:pt idx="42">
                  <c:v>-1.2324148354842523E-2</c:v>
                </c:pt>
                <c:pt idx="43">
                  <c:v>7.6515597410240499E-3</c:v>
                </c:pt>
                <c:pt idx="44">
                  <c:v>9.9299065420561661E-3</c:v>
                </c:pt>
                <c:pt idx="45">
                  <c:v>7.5187969924810361E-3</c:v>
                </c:pt>
                <c:pt idx="46">
                  <c:v>7.4626865671643117E-3</c:v>
                </c:pt>
                <c:pt idx="47">
                  <c:v>7.4074074074075291E-3</c:v>
                </c:pt>
                <c:pt idx="48">
                  <c:v>-5.090497737556543E-3</c:v>
                </c:pt>
                <c:pt idx="49">
                  <c:v>-8.5275724843660861E-3</c:v>
                </c:pt>
                <c:pt idx="50">
                  <c:v>-2.1559633027523062E-2</c:v>
                </c:pt>
                <c:pt idx="51">
                  <c:v>8.0872011251760245E-3</c:v>
                </c:pt>
                <c:pt idx="52">
                  <c:v>-1.2324148354842523E-2</c:v>
                </c:pt>
                <c:pt idx="53">
                  <c:v>7.6515597410240499E-3</c:v>
                </c:pt>
                <c:pt idx="54">
                  <c:v>9.9299065420561661E-3</c:v>
                </c:pt>
                <c:pt idx="55">
                  <c:v>7.5187969924810361E-3</c:v>
                </c:pt>
                <c:pt idx="56">
                  <c:v>7.4626865671643117E-3</c:v>
                </c:pt>
                <c:pt idx="57">
                  <c:v>7.4074074074075291E-3</c:v>
                </c:pt>
                <c:pt idx="58">
                  <c:v>-5.090497737556543E-3</c:v>
                </c:pt>
                <c:pt idx="59">
                  <c:v>-8.5275724843660861E-3</c:v>
                </c:pt>
                <c:pt idx="60">
                  <c:v>-2.1559633027523062E-2</c:v>
                </c:pt>
                <c:pt idx="61">
                  <c:v>8.0872011251760245E-3</c:v>
                </c:pt>
                <c:pt idx="62">
                  <c:v>-1.2324148354842523E-2</c:v>
                </c:pt>
                <c:pt idx="63">
                  <c:v>7.6515597410240499E-3</c:v>
                </c:pt>
                <c:pt idx="64">
                  <c:v>9.9299065420561661E-3</c:v>
                </c:pt>
                <c:pt idx="65">
                  <c:v>7.5187969924810361E-3</c:v>
                </c:pt>
                <c:pt idx="66">
                  <c:v>7.4626865671643117E-3</c:v>
                </c:pt>
                <c:pt idx="67">
                  <c:v>7.4074074074075291E-3</c:v>
                </c:pt>
                <c:pt idx="68">
                  <c:v>-5.090497737556543E-3</c:v>
                </c:pt>
                <c:pt idx="69">
                  <c:v>-8.5275724843660861E-3</c:v>
                </c:pt>
                <c:pt idx="70">
                  <c:v>-2.1559633027523062E-2</c:v>
                </c:pt>
                <c:pt idx="71">
                  <c:v>8.0872011251760245E-3</c:v>
                </c:pt>
                <c:pt idx="72">
                  <c:v>-1.2324148354842523E-2</c:v>
                </c:pt>
                <c:pt idx="73">
                  <c:v>7.6515597410240499E-3</c:v>
                </c:pt>
                <c:pt idx="74">
                  <c:v>9.9299065420561661E-3</c:v>
                </c:pt>
                <c:pt idx="75">
                  <c:v>7.5187969924810361E-3</c:v>
                </c:pt>
                <c:pt idx="76">
                  <c:v>7.4626865671643117E-3</c:v>
                </c:pt>
                <c:pt idx="77">
                  <c:v>7.4074074074075291E-3</c:v>
                </c:pt>
                <c:pt idx="78">
                  <c:v>-5.090497737556543E-3</c:v>
                </c:pt>
                <c:pt idx="79">
                  <c:v>-8.5275724843660861E-3</c:v>
                </c:pt>
                <c:pt idx="80">
                  <c:v>-2.1559633027523062E-2</c:v>
                </c:pt>
                <c:pt idx="81">
                  <c:v>8.0872011251760245E-3</c:v>
                </c:pt>
                <c:pt idx="82">
                  <c:v>-1.2324148354842523E-2</c:v>
                </c:pt>
                <c:pt idx="83">
                  <c:v>7.6515597410240499E-3</c:v>
                </c:pt>
                <c:pt idx="84">
                  <c:v>9.9299065420561661E-3</c:v>
                </c:pt>
                <c:pt idx="85">
                  <c:v>7.5187969924810361E-3</c:v>
                </c:pt>
                <c:pt idx="86">
                  <c:v>7.4626865671643117E-3</c:v>
                </c:pt>
                <c:pt idx="87">
                  <c:v>7.4074074074075291E-3</c:v>
                </c:pt>
                <c:pt idx="88">
                  <c:v>-5.090497737556543E-3</c:v>
                </c:pt>
                <c:pt idx="89">
                  <c:v>-8.5275724843660861E-3</c:v>
                </c:pt>
                <c:pt idx="90">
                  <c:v>-2.1559633027523062E-2</c:v>
                </c:pt>
                <c:pt idx="91">
                  <c:v>8.0872011251760245E-3</c:v>
                </c:pt>
                <c:pt idx="92">
                  <c:v>-1.2324148354842523E-2</c:v>
                </c:pt>
                <c:pt idx="93">
                  <c:v>7.6515597410240499E-3</c:v>
                </c:pt>
                <c:pt idx="94">
                  <c:v>9.9299065420561661E-3</c:v>
                </c:pt>
                <c:pt idx="95">
                  <c:v>7.5187969924810361E-3</c:v>
                </c:pt>
                <c:pt idx="96">
                  <c:v>7.4626865671643117E-3</c:v>
                </c:pt>
                <c:pt idx="97">
                  <c:v>7.4074074074075291E-3</c:v>
                </c:pt>
                <c:pt idx="98">
                  <c:v>-5.090497737556543E-3</c:v>
                </c:pt>
                <c:pt idx="99">
                  <c:v>-8.5275724843660861E-3</c:v>
                </c:pt>
                <c:pt idx="100">
                  <c:v>-2.1559633027523062E-2</c:v>
                </c:pt>
                <c:pt idx="101">
                  <c:v>8.0872011251760245E-3</c:v>
                </c:pt>
                <c:pt idx="102">
                  <c:v>-1.2324148354842523E-2</c:v>
                </c:pt>
                <c:pt idx="103">
                  <c:v>7.6515597410240499E-3</c:v>
                </c:pt>
                <c:pt idx="104">
                  <c:v>9.9299065420561661E-3</c:v>
                </c:pt>
                <c:pt idx="105">
                  <c:v>7.5187969924810361E-3</c:v>
                </c:pt>
                <c:pt idx="106">
                  <c:v>7.4626865671643117E-3</c:v>
                </c:pt>
                <c:pt idx="107">
                  <c:v>7.4074074074075291E-3</c:v>
                </c:pt>
                <c:pt idx="108">
                  <c:v>-5.090497737556543E-3</c:v>
                </c:pt>
                <c:pt idx="109">
                  <c:v>-8.5275724843660861E-3</c:v>
                </c:pt>
                <c:pt idx="110">
                  <c:v>-2.1559633027523062E-2</c:v>
                </c:pt>
                <c:pt idx="111">
                  <c:v>8.0872011251760245E-3</c:v>
                </c:pt>
                <c:pt idx="112">
                  <c:v>-1.2324148354842523E-2</c:v>
                </c:pt>
                <c:pt idx="113">
                  <c:v>7.6515597410240499E-3</c:v>
                </c:pt>
                <c:pt idx="114">
                  <c:v>9.9299065420561661E-3</c:v>
                </c:pt>
                <c:pt idx="115">
                  <c:v>7.5187969924810361E-3</c:v>
                </c:pt>
                <c:pt idx="116">
                  <c:v>7.4626865671643117E-3</c:v>
                </c:pt>
                <c:pt idx="117">
                  <c:v>7.4074074074075291E-3</c:v>
                </c:pt>
                <c:pt idx="118">
                  <c:v>-5.090497737556543E-3</c:v>
                </c:pt>
                <c:pt idx="119">
                  <c:v>-8.5275724843660861E-3</c:v>
                </c:pt>
                <c:pt idx="120">
                  <c:v>-2.1559633027523062E-2</c:v>
                </c:pt>
                <c:pt idx="121">
                  <c:v>8.0872011251760245E-3</c:v>
                </c:pt>
                <c:pt idx="122">
                  <c:v>-1.2324148354842523E-2</c:v>
                </c:pt>
                <c:pt idx="123">
                  <c:v>7.6515597410240499E-3</c:v>
                </c:pt>
                <c:pt idx="124">
                  <c:v>9.9299065420561661E-3</c:v>
                </c:pt>
                <c:pt idx="125">
                  <c:v>7.5187969924810361E-3</c:v>
                </c:pt>
                <c:pt idx="126">
                  <c:v>7.4626865671643117E-3</c:v>
                </c:pt>
                <c:pt idx="127">
                  <c:v>7.4074074074075291E-3</c:v>
                </c:pt>
                <c:pt idx="128">
                  <c:v>-5.090497737556543E-3</c:v>
                </c:pt>
                <c:pt idx="129">
                  <c:v>-8.5275724843660861E-3</c:v>
                </c:pt>
                <c:pt idx="130">
                  <c:v>-2.1559633027523062E-2</c:v>
                </c:pt>
                <c:pt idx="131">
                  <c:v>8.0872011251760245E-3</c:v>
                </c:pt>
                <c:pt idx="132">
                  <c:v>-1.2324148354842523E-2</c:v>
                </c:pt>
                <c:pt idx="133">
                  <c:v>7.6515597410240499E-3</c:v>
                </c:pt>
                <c:pt idx="134">
                  <c:v>9.9299065420561661E-3</c:v>
                </c:pt>
                <c:pt idx="135">
                  <c:v>7.5187969924810361E-3</c:v>
                </c:pt>
                <c:pt idx="136">
                  <c:v>7.4626865671643117E-3</c:v>
                </c:pt>
                <c:pt idx="137">
                  <c:v>7.4074074074075291E-3</c:v>
                </c:pt>
                <c:pt idx="138">
                  <c:v>-5.090497737556543E-3</c:v>
                </c:pt>
                <c:pt idx="139">
                  <c:v>-8.5275724843660861E-3</c:v>
                </c:pt>
                <c:pt idx="140">
                  <c:v>-2.1559633027523062E-2</c:v>
                </c:pt>
                <c:pt idx="141">
                  <c:v>8.0872011251760245E-3</c:v>
                </c:pt>
                <c:pt idx="142">
                  <c:v>-1.2324148354842523E-2</c:v>
                </c:pt>
                <c:pt idx="143">
                  <c:v>7.6515597410240499E-3</c:v>
                </c:pt>
                <c:pt idx="144">
                  <c:v>9.9299065420561661E-3</c:v>
                </c:pt>
                <c:pt idx="145">
                  <c:v>7.5187969924810361E-3</c:v>
                </c:pt>
                <c:pt idx="146">
                  <c:v>7.4626865671643117E-3</c:v>
                </c:pt>
                <c:pt idx="147">
                  <c:v>7.4074074074075291E-3</c:v>
                </c:pt>
                <c:pt idx="148">
                  <c:v>-5.090497737556543E-3</c:v>
                </c:pt>
                <c:pt idx="149">
                  <c:v>-8.5275724843660861E-3</c:v>
                </c:pt>
                <c:pt idx="150">
                  <c:v>-2.1559633027523062E-2</c:v>
                </c:pt>
                <c:pt idx="151">
                  <c:v>8.0872011251760245E-3</c:v>
                </c:pt>
                <c:pt idx="152">
                  <c:v>-1.2324148354842523E-2</c:v>
                </c:pt>
                <c:pt idx="153">
                  <c:v>7.6515597410240499E-3</c:v>
                </c:pt>
                <c:pt idx="154">
                  <c:v>9.9299065420561661E-3</c:v>
                </c:pt>
                <c:pt idx="155">
                  <c:v>7.5187969924810361E-3</c:v>
                </c:pt>
                <c:pt idx="156">
                  <c:v>7.4626865671643117E-3</c:v>
                </c:pt>
                <c:pt idx="157">
                  <c:v>7.4074074074075291E-3</c:v>
                </c:pt>
                <c:pt idx="158">
                  <c:v>-5.090497737556543E-3</c:v>
                </c:pt>
                <c:pt idx="159">
                  <c:v>-8.5275724843660861E-3</c:v>
                </c:pt>
                <c:pt idx="160">
                  <c:v>-2.1559633027523062E-2</c:v>
                </c:pt>
                <c:pt idx="161">
                  <c:v>8.0872011251760245E-3</c:v>
                </c:pt>
                <c:pt idx="162">
                  <c:v>-1.2324148354842523E-2</c:v>
                </c:pt>
                <c:pt idx="163">
                  <c:v>7.6515597410240499E-3</c:v>
                </c:pt>
                <c:pt idx="164">
                  <c:v>9.9299065420561661E-3</c:v>
                </c:pt>
                <c:pt idx="165">
                  <c:v>7.5187969924810361E-3</c:v>
                </c:pt>
                <c:pt idx="166">
                  <c:v>7.4626865671643117E-3</c:v>
                </c:pt>
                <c:pt idx="167">
                  <c:v>7.4074074074075291E-3</c:v>
                </c:pt>
                <c:pt idx="168">
                  <c:v>-5.090497737556543E-3</c:v>
                </c:pt>
                <c:pt idx="169">
                  <c:v>-8.5275724843660861E-3</c:v>
                </c:pt>
                <c:pt idx="170">
                  <c:v>-2.1559633027523062E-2</c:v>
                </c:pt>
                <c:pt idx="171">
                  <c:v>8.0872011251760245E-3</c:v>
                </c:pt>
                <c:pt idx="172">
                  <c:v>-1.2324148354842523E-2</c:v>
                </c:pt>
                <c:pt idx="173">
                  <c:v>7.6515597410240499E-3</c:v>
                </c:pt>
                <c:pt idx="174">
                  <c:v>9.9299065420561661E-3</c:v>
                </c:pt>
                <c:pt idx="175">
                  <c:v>7.5187969924810361E-3</c:v>
                </c:pt>
                <c:pt idx="176">
                  <c:v>7.4626865671643117E-3</c:v>
                </c:pt>
                <c:pt idx="177">
                  <c:v>7.4074074074075291E-3</c:v>
                </c:pt>
                <c:pt idx="178">
                  <c:v>-5.090497737556543E-3</c:v>
                </c:pt>
                <c:pt idx="179">
                  <c:v>-8.5275724843660861E-3</c:v>
                </c:pt>
                <c:pt idx="180">
                  <c:v>-2.1559633027523062E-2</c:v>
                </c:pt>
                <c:pt idx="181">
                  <c:v>8.0872011251760245E-3</c:v>
                </c:pt>
                <c:pt idx="182">
                  <c:v>-1.2324148354842523E-2</c:v>
                </c:pt>
                <c:pt idx="183">
                  <c:v>7.6515597410240499E-3</c:v>
                </c:pt>
                <c:pt idx="184">
                  <c:v>9.9299065420561661E-3</c:v>
                </c:pt>
                <c:pt idx="185">
                  <c:v>7.5187969924810361E-3</c:v>
                </c:pt>
                <c:pt idx="186">
                  <c:v>7.4626865671643117E-3</c:v>
                </c:pt>
                <c:pt idx="187">
                  <c:v>7.4074074074075291E-3</c:v>
                </c:pt>
                <c:pt idx="188">
                  <c:v>-5.090497737556543E-3</c:v>
                </c:pt>
                <c:pt idx="189">
                  <c:v>-8.5275724843660861E-3</c:v>
                </c:pt>
                <c:pt idx="190">
                  <c:v>-2.1559633027523062E-2</c:v>
                </c:pt>
                <c:pt idx="191">
                  <c:v>8.0872011251760245E-3</c:v>
                </c:pt>
                <c:pt idx="192">
                  <c:v>-1.2324148354842523E-2</c:v>
                </c:pt>
                <c:pt idx="193">
                  <c:v>7.6515597410240499E-3</c:v>
                </c:pt>
                <c:pt idx="194">
                  <c:v>9.9299065420561661E-3</c:v>
                </c:pt>
                <c:pt idx="195">
                  <c:v>7.5187969924810361E-3</c:v>
                </c:pt>
                <c:pt idx="196">
                  <c:v>7.4626865671643117E-3</c:v>
                </c:pt>
                <c:pt idx="197">
                  <c:v>7.4074074074075291E-3</c:v>
                </c:pt>
                <c:pt idx="198">
                  <c:v>-5.090497737556543E-3</c:v>
                </c:pt>
                <c:pt idx="199">
                  <c:v>-8.5275724843660861E-3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ED-49F8-ABFB-A0AD87CA2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786936"/>
        <c:axId val="957791976"/>
      </c:scatterChart>
      <c:valAx>
        <c:axId val="957786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91976"/>
        <c:crosses val="autoZero"/>
        <c:crossBetween val="midCat"/>
      </c:valAx>
      <c:valAx>
        <c:axId val="95779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86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Stock_oil_prices!$D$1</c:f>
              <c:strCache>
                <c:ptCount val="1"/>
                <c:pt idx="0">
                  <c:v>Nvidia 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Stock_oil_prices!$D$2:$D$201</c:f>
              <c:numCache>
                <c:formatCode>0.00%</c:formatCode>
                <c:ptCount val="200"/>
                <c:pt idx="1">
                  <c:v>3.8521603331598264E-3</c:v>
                </c:pt>
                <c:pt idx="2">
                  <c:v>-6.9487658162207255E-3</c:v>
                </c:pt>
                <c:pt idx="3">
                  <c:v>5.7441253263708081E-3</c:v>
                </c:pt>
                <c:pt idx="4">
                  <c:v>5.6074766355140859E-3</c:v>
                </c:pt>
                <c:pt idx="5">
                  <c:v>3.5109458901281254E-3</c:v>
                </c:pt>
                <c:pt idx="6">
                  <c:v>4.3218769294093295E-3</c:v>
                </c:pt>
                <c:pt idx="7">
                  <c:v>4.4057377049180335E-3</c:v>
                </c:pt>
                <c:pt idx="8">
                  <c:v>-4.7944506783637042E-3</c:v>
                </c:pt>
                <c:pt idx="9">
                  <c:v>-3.1775317753177656E-3</c:v>
                </c:pt>
                <c:pt idx="10">
                  <c:v>-1.2339331619537264E-2</c:v>
                </c:pt>
                <c:pt idx="11">
                  <c:v>3.8521603331598264E-3</c:v>
                </c:pt>
                <c:pt idx="12">
                  <c:v>-6.9487658162207255E-3</c:v>
                </c:pt>
                <c:pt idx="13">
                  <c:v>5.7441253263708081E-3</c:v>
                </c:pt>
                <c:pt idx="14">
                  <c:v>5.6074766355140859E-3</c:v>
                </c:pt>
                <c:pt idx="15">
                  <c:v>3.5109458901281254E-3</c:v>
                </c:pt>
                <c:pt idx="16">
                  <c:v>4.3218769294093295E-3</c:v>
                </c:pt>
                <c:pt idx="17">
                  <c:v>4.4057377049180335E-3</c:v>
                </c:pt>
                <c:pt idx="18">
                  <c:v>-4.7944506783637042E-3</c:v>
                </c:pt>
                <c:pt idx="19">
                  <c:v>-3.1775317753177656E-3</c:v>
                </c:pt>
                <c:pt idx="20">
                  <c:v>-1.2339331619537264E-2</c:v>
                </c:pt>
                <c:pt idx="21">
                  <c:v>3.8521603331598264E-3</c:v>
                </c:pt>
                <c:pt idx="22">
                  <c:v>-6.9487658162207255E-3</c:v>
                </c:pt>
                <c:pt idx="23">
                  <c:v>5.7441253263708081E-3</c:v>
                </c:pt>
                <c:pt idx="24">
                  <c:v>5.6074766355140859E-3</c:v>
                </c:pt>
                <c:pt idx="25">
                  <c:v>3.5109458901281254E-3</c:v>
                </c:pt>
                <c:pt idx="26">
                  <c:v>4.3218769294093295E-3</c:v>
                </c:pt>
                <c:pt idx="27">
                  <c:v>4.4057377049180335E-3</c:v>
                </c:pt>
                <c:pt idx="28">
                  <c:v>-4.7944506783637042E-3</c:v>
                </c:pt>
                <c:pt idx="29">
                  <c:v>-3.1775317753177656E-3</c:v>
                </c:pt>
                <c:pt idx="30">
                  <c:v>-1.2339331619537264E-2</c:v>
                </c:pt>
                <c:pt idx="31">
                  <c:v>3.8521603331598264E-3</c:v>
                </c:pt>
                <c:pt idx="32">
                  <c:v>-6.9487658162207255E-3</c:v>
                </c:pt>
                <c:pt idx="33">
                  <c:v>5.7441253263708081E-3</c:v>
                </c:pt>
                <c:pt idx="34">
                  <c:v>5.6074766355140859E-3</c:v>
                </c:pt>
                <c:pt idx="35">
                  <c:v>3.5109458901281254E-3</c:v>
                </c:pt>
                <c:pt idx="36">
                  <c:v>4.3218769294093295E-3</c:v>
                </c:pt>
                <c:pt idx="37">
                  <c:v>4.4057377049180335E-3</c:v>
                </c:pt>
                <c:pt idx="38">
                  <c:v>-4.7944506783637042E-3</c:v>
                </c:pt>
                <c:pt idx="39">
                  <c:v>-3.1775317753177656E-3</c:v>
                </c:pt>
                <c:pt idx="40">
                  <c:v>-1.2339331619537264E-2</c:v>
                </c:pt>
                <c:pt idx="41">
                  <c:v>3.8521603331598264E-3</c:v>
                </c:pt>
                <c:pt idx="42">
                  <c:v>-6.9487658162207255E-3</c:v>
                </c:pt>
                <c:pt idx="43">
                  <c:v>5.7441253263708081E-3</c:v>
                </c:pt>
                <c:pt idx="44">
                  <c:v>5.6074766355140859E-3</c:v>
                </c:pt>
                <c:pt idx="45">
                  <c:v>3.5109458901281254E-3</c:v>
                </c:pt>
                <c:pt idx="46">
                  <c:v>4.3218769294093295E-3</c:v>
                </c:pt>
                <c:pt idx="47">
                  <c:v>4.4057377049180335E-3</c:v>
                </c:pt>
                <c:pt idx="48">
                  <c:v>-4.7944506783637042E-3</c:v>
                </c:pt>
                <c:pt idx="49">
                  <c:v>-3.1775317753177656E-3</c:v>
                </c:pt>
                <c:pt idx="50">
                  <c:v>-1.2339331619537264E-2</c:v>
                </c:pt>
                <c:pt idx="51">
                  <c:v>3.8521603331598264E-3</c:v>
                </c:pt>
                <c:pt idx="52">
                  <c:v>-6.9487658162207255E-3</c:v>
                </c:pt>
                <c:pt idx="53">
                  <c:v>5.7441253263708081E-3</c:v>
                </c:pt>
                <c:pt idx="54">
                  <c:v>5.6074766355140859E-3</c:v>
                </c:pt>
                <c:pt idx="55">
                  <c:v>3.5109458901281254E-3</c:v>
                </c:pt>
                <c:pt idx="56">
                  <c:v>4.3218769294093295E-3</c:v>
                </c:pt>
                <c:pt idx="57">
                  <c:v>4.4057377049180335E-3</c:v>
                </c:pt>
                <c:pt idx="58">
                  <c:v>-4.7944506783637042E-3</c:v>
                </c:pt>
                <c:pt idx="59">
                  <c:v>-3.1775317753177656E-3</c:v>
                </c:pt>
                <c:pt idx="60">
                  <c:v>-1.2339331619537264E-2</c:v>
                </c:pt>
                <c:pt idx="61">
                  <c:v>3.8521603331598264E-3</c:v>
                </c:pt>
                <c:pt idx="62">
                  <c:v>-6.9487658162207255E-3</c:v>
                </c:pt>
                <c:pt idx="63">
                  <c:v>5.7441253263708081E-3</c:v>
                </c:pt>
                <c:pt idx="64">
                  <c:v>5.6074766355140859E-3</c:v>
                </c:pt>
                <c:pt idx="65">
                  <c:v>3.5109458901281254E-3</c:v>
                </c:pt>
                <c:pt idx="66">
                  <c:v>4.3218769294093295E-3</c:v>
                </c:pt>
                <c:pt idx="67">
                  <c:v>4.4057377049180335E-3</c:v>
                </c:pt>
                <c:pt idx="68">
                  <c:v>-4.7944506783637042E-3</c:v>
                </c:pt>
                <c:pt idx="69">
                  <c:v>-3.1775317753177656E-3</c:v>
                </c:pt>
                <c:pt idx="70">
                  <c:v>-1.2339331619537264E-2</c:v>
                </c:pt>
                <c:pt idx="71">
                  <c:v>3.8521603331598264E-3</c:v>
                </c:pt>
                <c:pt idx="72">
                  <c:v>-6.9487658162207255E-3</c:v>
                </c:pt>
                <c:pt idx="73">
                  <c:v>5.7441253263708081E-3</c:v>
                </c:pt>
                <c:pt idx="74">
                  <c:v>5.6074766355140859E-3</c:v>
                </c:pt>
                <c:pt idx="75">
                  <c:v>3.5109458901281254E-3</c:v>
                </c:pt>
                <c:pt idx="76">
                  <c:v>4.3218769294093295E-3</c:v>
                </c:pt>
                <c:pt idx="77">
                  <c:v>4.4057377049180335E-3</c:v>
                </c:pt>
                <c:pt idx="78">
                  <c:v>-4.7944506783637042E-3</c:v>
                </c:pt>
                <c:pt idx="79">
                  <c:v>-3.1775317753177656E-3</c:v>
                </c:pt>
                <c:pt idx="80">
                  <c:v>-1.2339331619537264E-2</c:v>
                </c:pt>
                <c:pt idx="81">
                  <c:v>3.8521603331598264E-3</c:v>
                </c:pt>
                <c:pt idx="82">
                  <c:v>-6.9487658162207255E-3</c:v>
                </c:pt>
                <c:pt idx="83">
                  <c:v>5.7441253263708081E-3</c:v>
                </c:pt>
                <c:pt idx="84">
                  <c:v>5.6074766355140859E-3</c:v>
                </c:pt>
                <c:pt idx="85">
                  <c:v>3.5109458901281254E-3</c:v>
                </c:pt>
                <c:pt idx="86">
                  <c:v>4.3218769294093295E-3</c:v>
                </c:pt>
                <c:pt idx="87">
                  <c:v>4.4057377049180335E-3</c:v>
                </c:pt>
                <c:pt idx="88">
                  <c:v>-4.7944506783637042E-3</c:v>
                </c:pt>
                <c:pt idx="89">
                  <c:v>-3.1775317753177656E-3</c:v>
                </c:pt>
                <c:pt idx="90">
                  <c:v>-1.2339331619537264E-2</c:v>
                </c:pt>
                <c:pt idx="91">
                  <c:v>3.8521603331598264E-3</c:v>
                </c:pt>
                <c:pt idx="92">
                  <c:v>-6.9487658162207255E-3</c:v>
                </c:pt>
                <c:pt idx="93">
                  <c:v>5.7441253263708081E-3</c:v>
                </c:pt>
                <c:pt idx="94">
                  <c:v>5.6074766355140859E-3</c:v>
                </c:pt>
                <c:pt idx="95">
                  <c:v>3.5109458901281254E-3</c:v>
                </c:pt>
                <c:pt idx="96">
                  <c:v>4.3218769294093295E-3</c:v>
                </c:pt>
                <c:pt idx="97">
                  <c:v>4.4057377049180335E-3</c:v>
                </c:pt>
                <c:pt idx="98">
                  <c:v>-4.7944506783637042E-3</c:v>
                </c:pt>
                <c:pt idx="99">
                  <c:v>-3.1775317753177656E-3</c:v>
                </c:pt>
                <c:pt idx="100">
                  <c:v>-1.2339331619537264E-2</c:v>
                </c:pt>
                <c:pt idx="101">
                  <c:v>3.8521603331598264E-3</c:v>
                </c:pt>
                <c:pt idx="102">
                  <c:v>-6.9487658162207255E-3</c:v>
                </c:pt>
                <c:pt idx="103">
                  <c:v>5.7441253263708081E-3</c:v>
                </c:pt>
                <c:pt idx="104">
                  <c:v>5.6074766355140859E-3</c:v>
                </c:pt>
                <c:pt idx="105">
                  <c:v>3.5109458901281254E-3</c:v>
                </c:pt>
                <c:pt idx="106">
                  <c:v>4.3218769294093295E-3</c:v>
                </c:pt>
                <c:pt idx="107">
                  <c:v>4.4057377049180335E-3</c:v>
                </c:pt>
                <c:pt idx="108">
                  <c:v>-4.7944506783637042E-3</c:v>
                </c:pt>
                <c:pt idx="109">
                  <c:v>-3.1775317753177656E-3</c:v>
                </c:pt>
                <c:pt idx="110">
                  <c:v>-1.2339331619537264E-2</c:v>
                </c:pt>
                <c:pt idx="111">
                  <c:v>3.8521603331598264E-3</c:v>
                </c:pt>
                <c:pt idx="112">
                  <c:v>-6.9487658162207255E-3</c:v>
                </c:pt>
                <c:pt idx="113">
                  <c:v>5.7441253263708081E-3</c:v>
                </c:pt>
                <c:pt idx="114">
                  <c:v>5.6074766355140859E-3</c:v>
                </c:pt>
                <c:pt idx="115">
                  <c:v>3.5109458901281254E-3</c:v>
                </c:pt>
                <c:pt idx="116">
                  <c:v>4.3218769294093295E-3</c:v>
                </c:pt>
                <c:pt idx="117">
                  <c:v>4.4057377049180335E-3</c:v>
                </c:pt>
                <c:pt idx="118">
                  <c:v>-4.7944506783637042E-3</c:v>
                </c:pt>
                <c:pt idx="119">
                  <c:v>-3.1775317753177656E-3</c:v>
                </c:pt>
                <c:pt idx="120">
                  <c:v>-1.2339331619537264E-2</c:v>
                </c:pt>
                <c:pt idx="121">
                  <c:v>3.8521603331598264E-3</c:v>
                </c:pt>
                <c:pt idx="122">
                  <c:v>-6.9487658162207255E-3</c:v>
                </c:pt>
                <c:pt idx="123">
                  <c:v>5.7441253263708081E-3</c:v>
                </c:pt>
                <c:pt idx="124">
                  <c:v>5.6074766355140859E-3</c:v>
                </c:pt>
                <c:pt idx="125">
                  <c:v>3.5109458901281254E-3</c:v>
                </c:pt>
                <c:pt idx="126">
                  <c:v>4.3218769294093295E-3</c:v>
                </c:pt>
                <c:pt idx="127">
                  <c:v>4.4057377049180335E-3</c:v>
                </c:pt>
                <c:pt idx="128">
                  <c:v>-4.7944506783637042E-3</c:v>
                </c:pt>
                <c:pt idx="129">
                  <c:v>-3.1775317753177656E-3</c:v>
                </c:pt>
                <c:pt idx="130">
                  <c:v>-1.2339331619537264E-2</c:v>
                </c:pt>
                <c:pt idx="131">
                  <c:v>3.8521603331598264E-3</c:v>
                </c:pt>
                <c:pt idx="132">
                  <c:v>-6.9487658162207255E-3</c:v>
                </c:pt>
                <c:pt idx="133">
                  <c:v>5.7441253263708081E-3</c:v>
                </c:pt>
                <c:pt idx="134">
                  <c:v>5.6074766355140859E-3</c:v>
                </c:pt>
                <c:pt idx="135">
                  <c:v>3.5109458901281254E-3</c:v>
                </c:pt>
                <c:pt idx="136">
                  <c:v>4.3218769294093295E-3</c:v>
                </c:pt>
                <c:pt idx="137">
                  <c:v>4.4057377049180335E-3</c:v>
                </c:pt>
                <c:pt idx="138">
                  <c:v>-4.7944506783637042E-3</c:v>
                </c:pt>
                <c:pt idx="139">
                  <c:v>-3.1775317753177656E-3</c:v>
                </c:pt>
                <c:pt idx="140">
                  <c:v>-1.2339331619537264E-2</c:v>
                </c:pt>
                <c:pt idx="141">
                  <c:v>3.8521603331598264E-3</c:v>
                </c:pt>
                <c:pt idx="142">
                  <c:v>-6.9487658162207255E-3</c:v>
                </c:pt>
                <c:pt idx="143">
                  <c:v>5.7441253263708081E-3</c:v>
                </c:pt>
                <c:pt idx="144">
                  <c:v>5.6074766355140859E-3</c:v>
                </c:pt>
                <c:pt idx="145">
                  <c:v>3.5109458901281254E-3</c:v>
                </c:pt>
                <c:pt idx="146">
                  <c:v>4.3218769294093295E-3</c:v>
                </c:pt>
                <c:pt idx="147">
                  <c:v>4.4057377049180335E-3</c:v>
                </c:pt>
                <c:pt idx="148">
                  <c:v>-4.7944506783637042E-3</c:v>
                </c:pt>
                <c:pt idx="149">
                  <c:v>-3.1775317753177656E-3</c:v>
                </c:pt>
                <c:pt idx="150">
                  <c:v>-1.2339331619537264E-2</c:v>
                </c:pt>
                <c:pt idx="151">
                  <c:v>3.8521603331598264E-3</c:v>
                </c:pt>
                <c:pt idx="152">
                  <c:v>-6.9487658162207255E-3</c:v>
                </c:pt>
                <c:pt idx="153">
                  <c:v>5.7441253263708081E-3</c:v>
                </c:pt>
                <c:pt idx="154">
                  <c:v>5.6074766355140859E-3</c:v>
                </c:pt>
                <c:pt idx="155">
                  <c:v>3.5109458901281254E-3</c:v>
                </c:pt>
                <c:pt idx="156">
                  <c:v>4.3218769294093295E-3</c:v>
                </c:pt>
                <c:pt idx="157">
                  <c:v>4.4057377049180335E-3</c:v>
                </c:pt>
                <c:pt idx="158">
                  <c:v>-4.7944506783637042E-3</c:v>
                </c:pt>
                <c:pt idx="159">
                  <c:v>-3.1775317753177656E-3</c:v>
                </c:pt>
                <c:pt idx="160">
                  <c:v>-1.2339331619537264E-2</c:v>
                </c:pt>
                <c:pt idx="161">
                  <c:v>3.8521603331598264E-3</c:v>
                </c:pt>
                <c:pt idx="162">
                  <c:v>-6.9487658162207255E-3</c:v>
                </c:pt>
                <c:pt idx="163">
                  <c:v>5.7441253263708081E-3</c:v>
                </c:pt>
                <c:pt idx="164">
                  <c:v>5.6074766355140859E-3</c:v>
                </c:pt>
                <c:pt idx="165">
                  <c:v>3.5109458901281254E-3</c:v>
                </c:pt>
                <c:pt idx="166">
                  <c:v>4.3218769294093295E-3</c:v>
                </c:pt>
                <c:pt idx="167">
                  <c:v>4.4057377049180335E-3</c:v>
                </c:pt>
                <c:pt idx="168">
                  <c:v>-4.7944506783637042E-3</c:v>
                </c:pt>
                <c:pt idx="169">
                  <c:v>-3.1775317753177656E-3</c:v>
                </c:pt>
                <c:pt idx="170">
                  <c:v>-1.2339331619537264E-2</c:v>
                </c:pt>
                <c:pt idx="171">
                  <c:v>3.8521603331598264E-3</c:v>
                </c:pt>
                <c:pt idx="172">
                  <c:v>-6.9487658162207255E-3</c:v>
                </c:pt>
                <c:pt idx="173">
                  <c:v>5.7441253263708081E-3</c:v>
                </c:pt>
                <c:pt idx="174">
                  <c:v>5.6074766355140859E-3</c:v>
                </c:pt>
                <c:pt idx="175">
                  <c:v>3.5109458901281254E-3</c:v>
                </c:pt>
                <c:pt idx="176">
                  <c:v>4.3218769294093295E-3</c:v>
                </c:pt>
                <c:pt idx="177">
                  <c:v>4.4057377049180335E-3</c:v>
                </c:pt>
                <c:pt idx="178">
                  <c:v>-4.7944506783637042E-3</c:v>
                </c:pt>
                <c:pt idx="179">
                  <c:v>-3.1775317753177656E-3</c:v>
                </c:pt>
                <c:pt idx="180">
                  <c:v>-1.2339331619537264E-2</c:v>
                </c:pt>
                <c:pt idx="181">
                  <c:v>3.8521603331598264E-3</c:v>
                </c:pt>
                <c:pt idx="182">
                  <c:v>-6.9487658162207255E-3</c:v>
                </c:pt>
                <c:pt idx="183">
                  <c:v>5.7441253263708081E-3</c:v>
                </c:pt>
                <c:pt idx="184">
                  <c:v>5.6074766355140859E-3</c:v>
                </c:pt>
                <c:pt idx="185">
                  <c:v>3.5109458901281254E-3</c:v>
                </c:pt>
                <c:pt idx="186">
                  <c:v>4.3218769294093295E-3</c:v>
                </c:pt>
                <c:pt idx="187">
                  <c:v>4.4057377049180335E-3</c:v>
                </c:pt>
                <c:pt idx="188">
                  <c:v>-4.7944506783637042E-3</c:v>
                </c:pt>
                <c:pt idx="189">
                  <c:v>-3.1775317753177656E-3</c:v>
                </c:pt>
                <c:pt idx="190">
                  <c:v>-1.2339331619537264E-2</c:v>
                </c:pt>
                <c:pt idx="191">
                  <c:v>3.8521603331598264E-3</c:v>
                </c:pt>
                <c:pt idx="192">
                  <c:v>-6.9487658162207255E-3</c:v>
                </c:pt>
                <c:pt idx="193">
                  <c:v>5.7441253263708081E-3</c:v>
                </c:pt>
                <c:pt idx="194">
                  <c:v>5.6074766355140859E-3</c:v>
                </c:pt>
                <c:pt idx="195">
                  <c:v>3.5109458901281254E-3</c:v>
                </c:pt>
                <c:pt idx="196">
                  <c:v>4.3218769294093295E-3</c:v>
                </c:pt>
                <c:pt idx="197">
                  <c:v>4.4057377049180335E-3</c:v>
                </c:pt>
                <c:pt idx="198">
                  <c:v>-4.7944506783637042E-3</c:v>
                </c:pt>
                <c:pt idx="199">
                  <c:v>-3.1775317753177656E-3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77-464D-885B-70710CFDF7B9}"/>
            </c:ext>
          </c:extLst>
        </c:ser>
        <c:ser>
          <c:idx val="1"/>
          <c:order val="1"/>
          <c:tx>
            <c:strRef>
              <c:f>Stock_oil_prices!$E$1</c:f>
              <c:strCache>
                <c:ptCount val="1"/>
                <c:pt idx="0">
                  <c:v>Oil 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Stock_oil_prices!$E$2:$E$201</c:f>
              <c:numCache>
                <c:formatCode>0.00%</c:formatCode>
                <c:ptCount val="200"/>
                <c:pt idx="1">
                  <c:v>8.0872011251760245E-3</c:v>
                </c:pt>
                <c:pt idx="2">
                  <c:v>-1.2324148354842523E-2</c:v>
                </c:pt>
                <c:pt idx="3">
                  <c:v>7.6515597410240499E-3</c:v>
                </c:pt>
                <c:pt idx="4">
                  <c:v>9.9299065420561661E-3</c:v>
                </c:pt>
                <c:pt idx="5">
                  <c:v>7.5187969924810361E-3</c:v>
                </c:pt>
                <c:pt idx="6">
                  <c:v>7.4626865671643117E-3</c:v>
                </c:pt>
                <c:pt idx="7">
                  <c:v>7.4074074074075291E-3</c:v>
                </c:pt>
                <c:pt idx="8">
                  <c:v>-5.090497737556543E-3</c:v>
                </c:pt>
                <c:pt idx="9">
                  <c:v>-8.5275724843660861E-3</c:v>
                </c:pt>
                <c:pt idx="10">
                  <c:v>-2.1559633027523062E-2</c:v>
                </c:pt>
                <c:pt idx="11">
                  <c:v>8.0872011251760245E-3</c:v>
                </c:pt>
                <c:pt idx="12">
                  <c:v>-1.2324148354842523E-2</c:v>
                </c:pt>
                <c:pt idx="13">
                  <c:v>7.6515597410240499E-3</c:v>
                </c:pt>
                <c:pt idx="14">
                  <c:v>9.9299065420561661E-3</c:v>
                </c:pt>
                <c:pt idx="15">
                  <c:v>7.5187969924810361E-3</c:v>
                </c:pt>
                <c:pt idx="16">
                  <c:v>7.4626865671643117E-3</c:v>
                </c:pt>
                <c:pt idx="17">
                  <c:v>7.4074074074075291E-3</c:v>
                </c:pt>
                <c:pt idx="18">
                  <c:v>-5.090497737556543E-3</c:v>
                </c:pt>
                <c:pt idx="19">
                  <c:v>-8.5275724843660861E-3</c:v>
                </c:pt>
                <c:pt idx="20">
                  <c:v>-2.1559633027523062E-2</c:v>
                </c:pt>
                <c:pt idx="21">
                  <c:v>8.0872011251760245E-3</c:v>
                </c:pt>
                <c:pt idx="22">
                  <c:v>-1.2324148354842523E-2</c:v>
                </c:pt>
                <c:pt idx="23">
                  <c:v>7.6515597410240499E-3</c:v>
                </c:pt>
                <c:pt idx="24">
                  <c:v>9.9299065420561661E-3</c:v>
                </c:pt>
                <c:pt idx="25">
                  <c:v>7.5187969924810361E-3</c:v>
                </c:pt>
                <c:pt idx="26">
                  <c:v>7.4626865671643117E-3</c:v>
                </c:pt>
                <c:pt idx="27">
                  <c:v>7.4074074074075291E-3</c:v>
                </c:pt>
                <c:pt idx="28">
                  <c:v>-5.090497737556543E-3</c:v>
                </c:pt>
                <c:pt idx="29">
                  <c:v>-8.5275724843660861E-3</c:v>
                </c:pt>
                <c:pt idx="30">
                  <c:v>-2.1559633027523062E-2</c:v>
                </c:pt>
                <c:pt idx="31">
                  <c:v>8.0872011251760245E-3</c:v>
                </c:pt>
                <c:pt idx="32">
                  <c:v>-1.2324148354842523E-2</c:v>
                </c:pt>
                <c:pt idx="33">
                  <c:v>7.6515597410240499E-3</c:v>
                </c:pt>
                <c:pt idx="34">
                  <c:v>9.9299065420561661E-3</c:v>
                </c:pt>
                <c:pt idx="35">
                  <c:v>7.5187969924810361E-3</c:v>
                </c:pt>
                <c:pt idx="36">
                  <c:v>7.4626865671643117E-3</c:v>
                </c:pt>
                <c:pt idx="37">
                  <c:v>7.4074074074075291E-3</c:v>
                </c:pt>
                <c:pt idx="38">
                  <c:v>-5.090497737556543E-3</c:v>
                </c:pt>
                <c:pt idx="39">
                  <c:v>-8.5275724843660861E-3</c:v>
                </c:pt>
                <c:pt idx="40">
                  <c:v>-2.1559633027523062E-2</c:v>
                </c:pt>
                <c:pt idx="41">
                  <c:v>8.0872011251760245E-3</c:v>
                </c:pt>
                <c:pt idx="42">
                  <c:v>-1.2324148354842523E-2</c:v>
                </c:pt>
                <c:pt idx="43">
                  <c:v>7.6515597410240499E-3</c:v>
                </c:pt>
                <c:pt idx="44">
                  <c:v>9.9299065420561661E-3</c:v>
                </c:pt>
                <c:pt idx="45">
                  <c:v>7.5187969924810361E-3</c:v>
                </c:pt>
                <c:pt idx="46">
                  <c:v>7.4626865671643117E-3</c:v>
                </c:pt>
                <c:pt idx="47">
                  <c:v>7.4074074074075291E-3</c:v>
                </c:pt>
                <c:pt idx="48">
                  <c:v>-5.090497737556543E-3</c:v>
                </c:pt>
                <c:pt idx="49">
                  <c:v>-8.5275724843660861E-3</c:v>
                </c:pt>
                <c:pt idx="50">
                  <c:v>-2.1559633027523062E-2</c:v>
                </c:pt>
                <c:pt idx="51">
                  <c:v>8.0872011251760245E-3</c:v>
                </c:pt>
                <c:pt idx="52">
                  <c:v>-1.2324148354842523E-2</c:v>
                </c:pt>
                <c:pt idx="53">
                  <c:v>7.6515597410240499E-3</c:v>
                </c:pt>
                <c:pt idx="54">
                  <c:v>9.9299065420561661E-3</c:v>
                </c:pt>
                <c:pt idx="55">
                  <c:v>7.5187969924810361E-3</c:v>
                </c:pt>
                <c:pt idx="56">
                  <c:v>7.4626865671643117E-3</c:v>
                </c:pt>
                <c:pt idx="57">
                  <c:v>7.4074074074075291E-3</c:v>
                </c:pt>
                <c:pt idx="58">
                  <c:v>-5.090497737556543E-3</c:v>
                </c:pt>
                <c:pt idx="59">
                  <c:v>-8.5275724843660861E-3</c:v>
                </c:pt>
                <c:pt idx="60">
                  <c:v>-2.1559633027523062E-2</c:v>
                </c:pt>
                <c:pt idx="61">
                  <c:v>8.0872011251760245E-3</c:v>
                </c:pt>
                <c:pt idx="62">
                  <c:v>-1.2324148354842523E-2</c:v>
                </c:pt>
                <c:pt idx="63">
                  <c:v>7.6515597410240499E-3</c:v>
                </c:pt>
                <c:pt idx="64">
                  <c:v>9.9299065420561661E-3</c:v>
                </c:pt>
                <c:pt idx="65">
                  <c:v>7.5187969924810361E-3</c:v>
                </c:pt>
                <c:pt idx="66">
                  <c:v>7.4626865671643117E-3</c:v>
                </c:pt>
                <c:pt idx="67">
                  <c:v>7.4074074074075291E-3</c:v>
                </c:pt>
                <c:pt idx="68">
                  <c:v>-5.090497737556543E-3</c:v>
                </c:pt>
                <c:pt idx="69">
                  <c:v>-8.5275724843660861E-3</c:v>
                </c:pt>
                <c:pt idx="70">
                  <c:v>-2.1559633027523062E-2</c:v>
                </c:pt>
                <c:pt idx="71">
                  <c:v>8.0872011251760245E-3</c:v>
                </c:pt>
                <c:pt idx="72">
                  <c:v>-1.2324148354842523E-2</c:v>
                </c:pt>
                <c:pt idx="73">
                  <c:v>7.6515597410240499E-3</c:v>
                </c:pt>
                <c:pt idx="74">
                  <c:v>9.9299065420561661E-3</c:v>
                </c:pt>
                <c:pt idx="75">
                  <c:v>7.5187969924810361E-3</c:v>
                </c:pt>
                <c:pt idx="76">
                  <c:v>7.4626865671643117E-3</c:v>
                </c:pt>
                <c:pt idx="77">
                  <c:v>7.4074074074075291E-3</c:v>
                </c:pt>
                <c:pt idx="78">
                  <c:v>-5.090497737556543E-3</c:v>
                </c:pt>
                <c:pt idx="79">
                  <c:v>-8.5275724843660861E-3</c:v>
                </c:pt>
                <c:pt idx="80">
                  <c:v>-2.1559633027523062E-2</c:v>
                </c:pt>
                <c:pt idx="81">
                  <c:v>8.0872011251760245E-3</c:v>
                </c:pt>
                <c:pt idx="82">
                  <c:v>-1.2324148354842523E-2</c:v>
                </c:pt>
                <c:pt idx="83">
                  <c:v>7.6515597410240499E-3</c:v>
                </c:pt>
                <c:pt idx="84">
                  <c:v>9.9299065420561661E-3</c:v>
                </c:pt>
                <c:pt idx="85">
                  <c:v>7.5187969924810361E-3</c:v>
                </c:pt>
                <c:pt idx="86">
                  <c:v>7.4626865671643117E-3</c:v>
                </c:pt>
                <c:pt idx="87">
                  <c:v>7.4074074074075291E-3</c:v>
                </c:pt>
                <c:pt idx="88">
                  <c:v>-5.090497737556543E-3</c:v>
                </c:pt>
                <c:pt idx="89">
                  <c:v>-8.5275724843660861E-3</c:v>
                </c:pt>
                <c:pt idx="90">
                  <c:v>-2.1559633027523062E-2</c:v>
                </c:pt>
                <c:pt idx="91">
                  <c:v>8.0872011251760245E-3</c:v>
                </c:pt>
                <c:pt idx="92">
                  <c:v>-1.2324148354842523E-2</c:v>
                </c:pt>
                <c:pt idx="93">
                  <c:v>7.6515597410240499E-3</c:v>
                </c:pt>
                <c:pt idx="94">
                  <c:v>9.9299065420561661E-3</c:v>
                </c:pt>
                <c:pt idx="95">
                  <c:v>7.5187969924810361E-3</c:v>
                </c:pt>
                <c:pt idx="96">
                  <c:v>7.4626865671643117E-3</c:v>
                </c:pt>
                <c:pt idx="97">
                  <c:v>7.4074074074075291E-3</c:v>
                </c:pt>
                <c:pt idx="98">
                  <c:v>-5.090497737556543E-3</c:v>
                </c:pt>
                <c:pt idx="99">
                  <c:v>-8.5275724843660861E-3</c:v>
                </c:pt>
                <c:pt idx="100">
                  <c:v>-2.1559633027523062E-2</c:v>
                </c:pt>
                <c:pt idx="101">
                  <c:v>8.0872011251760245E-3</c:v>
                </c:pt>
                <c:pt idx="102">
                  <c:v>-1.2324148354842523E-2</c:v>
                </c:pt>
                <c:pt idx="103">
                  <c:v>7.6515597410240499E-3</c:v>
                </c:pt>
                <c:pt idx="104">
                  <c:v>9.9299065420561661E-3</c:v>
                </c:pt>
                <c:pt idx="105">
                  <c:v>7.5187969924810361E-3</c:v>
                </c:pt>
                <c:pt idx="106">
                  <c:v>7.4626865671643117E-3</c:v>
                </c:pt>
                <c:pt idx="107">
                  <c:v>7.4074074074075291E-3</c:v>
                </c:pt>
                <c:pt idx="108">
                  <c:v>-5.090497737556543E-3</c:v>
                </c:pt>
                <c:pt idx="109">
                  <c:v>-8.5275724843660861E-3</c:v>
                </c:pt>
                <c:pt idx="110">
                  <c:v>-2.1559633027523062E-2</c:v>
                </c:pt>
                <c:pt idx="111">
                  <c:v>8.0872011251760245E-3</c:v>
                </c:pt>
                <c:pt idx="112">
                  <c:v>-1.2324148354842523E-2</c:v>
                </c:pt>
                <c:pt idx="113">
                  <c:v>7.6515597410240499E-3</c:v>
                </c:pt>
                <c:pt idx="114">
                  <c:v>9.9299065420561661E-3</c:v>
                </c:pt>
                <c:pt idx="115">
                  <c:v>7.5187969924810361E-3</c:v>
                </c:pt>
                <c:pt idx="116">
                  <c:v>7.4626865671643117E-3</c:v>
                </c:pt>
                <c:pt idx="117">
                  <c:v>7.4074074074075291E-3</c:v>
                </c:pt>
                <c:pt idx="118">
                  <c:v>-5.090497737556543E-3</c:v>
                </c:pt>
                <c:pt idx="119">
                  <c:v>-8.5275724843660861E-3</c:v>
                </c:pt>
                <c:pt idx="120">
                  <c:v>-2.1559633027523062E-2</c:v>
                </c:pt>
                <c:pt idx="121">
                  <c:v>8.0872011251760245E-3</c:v>
                </c:pt>
                <c:pt idx="122">
                  <c:v>-1.2324148354842523E-2</c:v>
                </c:pt>
                <c:pt idx="123">
                  <c:v>7.6515597410240499E-3</c:v>
                </c:pt>
                <c:pt idx="124">
                  <c:v>9.9299065420561661E-3</c:v>
                </c:pt>
                <c:pt idx="125">
                  <c:v>7.5187969924810361E-3</c:v>
                </c:pt>
                <c:pt idx="126">
                  <c:v>7.4626865671643117E-3</c:v>
                </c:pt>
                <c:pt idx="127">
                  <c:v>7.4074074074075291E-3</c:v>
                </c:pt>
                <c:pt idx="128">
                  <c:v>-5.090497737556543E-3</c:v>
                </c:pt>
                <c:pt idx="129">
                  <c:v>-8.5275724843660861E-3</c:v>
                </c:pt>
                <c:pt idx="130">
                  <c:v>-2.1559633027523062E-2</c:v>
                </c:pt>
                <c:pt idx="131">
                  <c:v>8.0872011251760245E-3</c:v>
                </c:pt>
                <c:pt idx="132">
                  <c:v>-1.2324148354842523E-2</c:v>
                </c:pt>
                <c:pt idx="133">
                  <c:v>7.6515597410240499E-3</c:v>
                </c:pt>
                <c:pt idx="134">
                  <c:v>9.9299065420561661E-3</c:v>
                </c:pt>
                <c:pt idx="135">
                  <c:v>7.5187969924810361E-3</c:v>
                </c:pt>
                <c:pt idx="136">
                  <c:v>7.4626865671643117E-3</c:v>
                </c:pt>
                <c:pt idx="137">
                  <c:v>7.4074074074075291E-3</c:v>
                </c:pt>
                <c:pt idx="138">
                  <c:v>-5.090497737556543E-3</c:v>
                </c:pt>
                <c:pt idx="139">
                  <c:v>-8.5275724843660861E-3</c:v>
                </c:pt>
                <c:pt idx="140">
                  <c:v>-2.1559633027523062E-2</c:v>
                </c:pt>
                <c:pt idx="141">
                  <c:v>8.0872011251760245E-3</c:v>
                </c:pt>
                <c:pt idx="142">
                  <c:v>-1.2324148354842523E-2</c:v>
                </c:pt>
                <c:pt idx="143">
                  <c:v>7.6515597410240499E-3</c:v>
                </c:pt>
                <c:pt idx="144">
                  <c:v>9.9299065420561661E-3</c:v>
                </c:pt>
                <c:pt idx="145">
                  <c:v>7.5187969924810361E-3</c:v>
                </c:pt>
                <c:pt idx="146">
                  <c:v>7.4626865671643117E-3</c:v>
                </c:pt>
                <c:pt idx="147">
                  <c:v>7.4074074074075291E-3</c:v>
                </c:pt>
                <c:pt idx="148">
                  <c:v>-5.090497737556543E-3</c:v>
                </c:pt>
                <c:pt idx="149">
                  <c:v>-8.5275724843660861E-3</c:v>
                </c:pt>
                <c:pt idx="150">
                  <c:v>-2.1559633027523062E-2</c:v>
                </c:pt>
                <c:pt idx="151">
                  <c:v>8.0872011251760245E-3</c:v>
                </c:pt>
                <c:pt idx="152">
                  <c:v>-1.2324148354842523E-2</c:v>
                </c:pt>
                <c:pt idx="153">
                  <c:v>7.6515597410240499E-3</c:v>
                </c:pt>
                <c:pt idx="154">
                  <c:v>9.9299065420561661E-3</c:v>
                </c:pt>
                <c:pt idx="155">
                  <c:v>7.5187969924810361E-3</c:v>
                </c:pt>
                <c:pt idx="156">
                  <c:v>7.4626865671643117E-3</c:v>
                </c:pt>
                <c:pt idx="157">
                  <c:v>7.4074074074075291E-3</c:v>
                </c:pt>
                <c:pt idx="158">
                  <c:v>-5.090497737556543E-3</c:v>
                </c:pt>
                <c:pt idx="159">
                  <c:v>-8.5275724843660861E-3</c:v>
                </c:pt>
                <c:pt idx="160">
                  <c:v>-2.1559633027523062E-2</c:v>
                </c:pt>
                <c:pt idx="161">
                  <c:v>8.0872011251760245E-3</c:v>
                </c:pt>
                <c:pt idx="162">
                  <c:v>-1.2324148354842523E-2</c:v>
                </c:pt>
                <c:pt idx="163">
                  <c:v>7.6515597410240499E-3</c:v>
                </c:pt>
                <c:pt idx="164">
                  <c:v>9.9299065420561661E-3</c:v>
                </c:pt>
                <c:pt idx="165">
                  <c:v>7.5187969924810361E-3</c:v>
                </c:pt>
                <c:pt idx="166">
                  <c:v>7.4626865671643117E-3</c:v>
                </c:pt>
                <c:pt idx="167">
                  <c:v>7.4074074074075291E-3</c:v>
                </c:pt>
                <c:pt idx="168">
                  <c:v>-5.090497737556543E-3</c:v>
                </c:pt>
                <c:pt idx="169">
                  <c:v>-8.5275724843660861E-3</c:v>
                </c:pt>
                <c:pt idx="170">
                  <c:v>-2.1559633027523062E-2</c:v>
                </c:pt>
                <c:pt idx="171">
                  <c:v>8.0872011251760245E-3</c:v>
                </c:pt>
                <c:pt idx="172">
                  <c:v>-1.2324148354842523E-2</c:v>
                </c:pt>
                <c:pt idx="173">
                  <c:v>7.6515597410240499E-3</c:v>
                </c:pt>
                <c:pt idx="174">
                  <c:v>9.9299065420561661E-3</c:v>
                </c:pt>
                <c:pt idx="175">
                  <c:v>7.5187969924810361E-3</c:v>
                </c:pt>
                <c:pt idx="176">
                  <c:v>7.4626865671643117E-3</c:v>
                </c:pt>
                <c:pt idx="177">
                  <c:v>7.4074074074075291E-3</c:v>
                </c:pt>
                <c:pt idx="178">
                  <c:v>-5.090497737556543E-3</c:v>
                </c:pt>
                <c:pt idx="179">
                  <c:v>-8.5275724843660861E-3</c:v>
                </c:pt>
                <c:pt idx="180">
                  <c:v>-2.1559633027523062E-2</c:v>
                </c:pt>
                <c:pt idx="181">
                  <c:v>8.0872011251760245E-3</c:v>
                </c:pt>
                <c:pt idx="182">
                  <c:v>-1.2324148354842523E-2</c:v>
                </c:pt>
                <c:pt idx="183">
                  <c:v>7.6515597410240499E-3</c:v>
                </c:pt>
                <c:pt idx="184">
                  <c:v>9.9299065420561661E-3</c:v>
                </c:pt>
                <c:pt idx="185">
                  <c:v>7.5187969924810361E-3</c:v>
                </c:pt>
                <c:pt idx="186">
                  <c:v>7.4626865671643117E-3</c:v>
                </c:pt>
                <c:pt idx="187">
                  <c:v>7.4074074074075291E-3</c:v>
                </c:pt>
                <c:pt idx="188">
                  <c:v>-5.090497737556543E-3</c:v>
                </c:pt>
                <c:pt idx="189">
                  <c:v>-8.5275724843660861E-3</c:v>
                </c:pt>
                <c:pt idx="190">
                  <c:v>-2.1559633027523062E-2</c:v>
                </c:pt>
                <c:pt idx="191">
                  <c:v>8.0872011251760245E-3</c:v>
                </c:pt>
                <c:pt idx="192">
                  <c:v>-1.2324148354842523E-2</c:v>
                </c:pt>
                <c:pt idx="193">
                  <c:v>7.6515597410240499E-3</c:v>
                </c:pt>
                <c:pt idx="194">
                  <c:v>9.9299065420561661E-3</c:v>
                </c:pt>
                <c:pt idx="195">
                  <c:v>7.5187969924810361E-3</c:v>
                </c:pt>
                <c:pt idx="196">
                  <c:v>7.4626865671643117E-3</c:v>
                </c:pt>
                <c:pt idx="197">
                  <c:v>7.4074074074075291E-3</c:v>
                </c:pt>
                <c:pt idx="198">
                  <c:v>-5.090497737556543E-3</c:v>
                </c:pt>
                <c:pt idx="199">
                  <c:v>-8.5275724843660861E-3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77-464D-885B-70710CFDF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795936"/>
        <c:axId val="957797736"/>
      </c:lineChart>
      <c:catAx>
        <c:axId val="95779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97736"/>
        <c:crosses val="autoZero"/>
        <c:auto val="1"/>
        <c:lblAlgn val="ctr"/>
        <c:lblOffset val="100"/>
        <c:noMultiLvlLbl val="0"/>
      </c:catAx>
      <c:valAx>
        <c:axId val="95779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9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Frequency of 'Oil Rt'</cx:v>
        </cx:txData>
      </cx:tx>
    </cx:title>
    <cx:plotArea>
      <cx:plotAreaRegion>
        <cx:series layoutId="clusteredColumn" uniqueId="{A936189F-9297-4DB2-A07D-00F62A6B30C0}">
          <cx:tx>
            <cx:txData>
              <cx:f>_xlchart.v1.0</cx:f>
              <cx:v/>
            </cx:txData>
          </cx:tx>
          <cx:spPr>
            <a:solidFill>
              <a:srgbClr val="595959"/>
            </a:solidFill>
          </cx:spPr>
          <cx:dataId val="0"/>
          <cx:layoutPr>
            <cx:binning intervalClosed="r">
              <cx:binSize val="0.00040000000000000002"/>
            </cx:binning>
          </cx:layoutPr>
        </cx:series>
      </cx:plotAreaRegion>
      <cx:axis id="0">
        <cx:catScaling gapWidth="0.330000013"/>
        <cx:title>
          <cx:tx>
            <cx:txData>
              <cx:v>Oil Rt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0</xdr:row>
      <xdr:rowOff>152401</xdr:rowOff>
    </xdr:from>
    <xdr:to>
      <xdr:col>17</xdr:col>
      <xdr:colOff>323850</xdr:colOff>
      <xdr:row>3</xdr:row>
      <xdr:rowOff>38101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D02CF5-2534-A70F-6DA1-F321B0C0A14A}"/>
            </a:ext>
          </a:extLst>
        </xdr:cNvPr>
        <xdr:cNvSpPr txBox="1"/>
      </xdr:nvSpPr>
      <xdr:spPr>
        <a:xfrm>
          <a:off x="5581650" y="152401"/>
          <a:ext cx="6029325" cy="4572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/>
            <a:t>Please generate data in tabular format for stock price and oil price, with 200 observations. The 3 columns are dates, Nvida stock price and brent oil price</a:t>
          </a:r>
          <a:endParaRPr lang="en-AU" sz="1100"/>
        </a:p>
      </xdr:txBody>
    </xdr:sp>
    <xdr:clientData/>
  </xdr:twoCellAnchor>
  <xdr:twoCellAnchor>
    <xdr:from>
      <xdr:col>5</xdr:col>
      <xdr:colOff>401638</xdr:colOff>
      <xdr:row>2</xdr:row>
      <xdr:rowOff>163512</xdr:rowOff>
    </xdr:from>
    <xdr:to>
      <xdr:col>13</xdr:col>
      <xdr:colOff>96838</xdr:colOff>
      <xdr:row>17</xdr:row>
      <xdr:rowOff>144462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E787EA-DE1B-3D5B-E48B-5B59319A3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300038</xdr:colOff>
      <xdr:row>16</xdr:row>
      <xdr:rowOff>49213</xdr:rowOff>
    </xdr:from>
    <xdr:to>
      <xdr:col>12</xdr:col>
      <xdr:colOff>604838</xdr:colOff>
      <xdr:row>31</xdr:row>
      <xdr:rowOff>30163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7A66B7-319A-E411-403F-EA3B4FCBC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113506</xdr:colOff>
      <xdr:row>31</xdr:row>
      <xdr:rowOff>20636</xdr:rowOff>
    </xdr:from>
    <xdr:to>
      <xdr:col>15</xdr:col>
      <xdr:colOff>329406</xdr:colOff>
      <xdr:row>54</xdr:row>
      <xdr:rowOff>57829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 descr="Chart type: Histogram. Frequency of 'Oil Rt'&#10;&#10;Description automatically generated">
              <a:extLst>
                <a:ext uri="{FF2B5EF4-FFF2-40B4-BE49-F238E27FC236}">
                  <a16:creationId xmlns:a16="http://schemas.microsoft.com/office/drawing/2014/main" id="{CB2C0124-B5B9-6436-C938-EBB846B0BB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2069" y="5949949"/>
              <a:ext cx="6454775" cy="44186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="130" zoomScaleNormal="130" workbookViewId="0">
      <selection activeCell="D19" sqref="D19"/>
    </sheetView>
  </sheetViews>
  <sheetFormatPr defaultRowHeight="15" x14ac:dyDescent="0.25"/>
  <cols>
    <col min="2" max="2" width="12.5703125" customWidth="1"/>
    <col min="3" max="3" width="10.85546875" customWidth="1"/>
  </cols>
  <sheetData>
    <row r="1" spans="1:5" x14ac:dyDescent="0.25">
      <c r="A1" t="s">
        <v>0</v>
      </c>
      <c r="B1" t="s">
        <v>8</v>
      </c>
      <c r="C1" t="s">
        <v>1</v>
      </c>
      <c r="D1" t="s">
        <v>3</v>
      </c>
    </row>
    <row r="2" spans="1:5" x14ac:dyDescent="0.25">
      <c r="B2" t="s">
        <v>9</v>
      </c>
      <c r="C2" t="s">
        <v>2</v>
      </c>
      <c r="D2" t="s">
        <v>4</v>
      </c>
    </row>
    <row r="3" spans="1:5" x14ac:dyDescent="0.25">
      <c r="A3">
        <v>0</v>
      </c>
      <c r="B3">
        <v>100000</v>
      </c>
    </row>
    <row r="4" spans="1:5" x14ac:dyDescent="0.25">
      <c r="A4">
        <v>1</v>
      </c>
      <c r="B4">
        <v>50000</v>
      </c>
      <c r="C4">
        <f>(B4-B3)/B3</f>
        <v>-0.5</v>
      </c>
      <c r="D4">
        <f>1+C4</f>
        <v>0.5</v>
      </c>
    </row>
    <row r="5" spans="1:5" x14ac:dyDescent="0.25">
      <c r="A5" s="1">
        <v>2</v>
      </c>
      <c r="B5" s="1">
        <v>100000</v>
      </c>
      <c r="C5" s="1">
        <f>(B5-B4)/B4</f>
        <v>1</v>
      </c>
      <c r="D5" s="1">
        <f>1+C5</f>
        <v>2</v>
      </c>
    </row>
    <row r="6" spans="1:5" x14ac:dyDescent="0.25">
      <c r="B6" t="s">
        <v>5</v>
      </c>
      <c r="C6" s="2">
        <f>AVERAGE(C4:C5)</f>
        <v>0.25</v>
      </c>
      <c r="D6" s="3">
        <f>GEOMEAN(D4:D5)-1</f>
        <v>0</v>
      </c>
      <c r="E6" t="s">
        <v>7</v>
      </c>
    </row>
    <row r="7" spans="1:5" x14ac:dyDescent="0.25">
      <c r="D7" s="3">
        <f>((1+C4)*(1+C5))^0.5-1</f>
        <v>0</v>
      </c>
      <c r="E7" t="s">
        <v>6</v>
      </c>
    </row>
    <row r="9" spans="1:5" x14ac:dyDescent="0.25">
      <c r="A9" t="s">
        <v>0</v>
      </c>
      <c r="B9" t="s">
        <v>8</v>
      </c>
      <c r="C9" t="s">
        <v>1</v>
      </c>
      <c r="D9" s="5" t="s">
        <v>3</v>
      </c>
    </row>
    <row r="10" spans="1:5" x14ac:dyDescent="0.25">
      <c r="B10" t="s">
        <v>9</v>
      </c>
      <c r="C10" t="s">
        <v>2</v>
      </c>
      <c r="D10" s="5" t="s">
        <v>4</v>
      </c>
    </row>
    <row r="11" spans="1:5" x14ac:dyDescent="0.25">
      <c r="A11">
        <v>0</v>
      </c>
      <c r="B11">
        <v>100000</v>
      </c>
    </row>
    <row r="12" spans="1:5" x14ac:dyDescent="0.25">
      <c r="A12">
        <v>1</v>
      </c>
      <c r="B12">
        <v>50000</v>
      </c>
      <c r="C12">
        <f>(B12-B11)/B11</f>
        <v>-0.5</v>
      </c>
      <c r="D12">
        <f>1+C12</f>
        <v>0.5</v>
      </c>
    </row>
    <row r="13" spans="1:5" x14ac:dyDescent="0.25">
      <c r="A13">
        <v>2</v>
      </c>
      <c r="B13">
        <v>100000</v>
      </c>
      <c r="C13">
        <f>(B13-B12)/B12</f>
        <v>1</v>
      </c>
      <c r="D13">
        <f>1+C13</f>
        <v>2</v>
      </c>
    </row>
    <row r="14" spans="1:5" x14ac:dyDescent="0.25">
      <c r="A14">
        <v>3</v>
      </c>
      <c r="B14">
        <v>80000</v>
      </c>
      <c r="C14">
        <f t="shared" ref="C14:C16" si="0">(B14-B13)/B13</f>
        <v>-0.2</v>
      </c>
      <c r="D14">
        <f t="shared" ref="D14:D16" si="1">1+C14</f>
        <v>0.8</v>
      </c>
    </row>
    <row r="15" spans="1:5" x14ac:dyDescent="0.25">
      <c r="A15">
        <v>4</v>
      </c>
      <c r="B15">
        <v>60000</v>
      </c>
      <c r="C15">
        <f t="shared" si="0"/>
        <v>-0.25</v>
      </c>
      <c r="D15">
        <f t="shared" si="1"/>
        <v>0.75</v>
      </c>
    </row>
    <row r="16" spans="1:5" x14ac:dyDescent="0.25">
      <c r="A16" s="1">
        <v>5</v>
      </c>
      <c r="B16" s="1">
        <v>90000</v>
      </c>
      <c r="C16" s="1">
        <f t="shared" si="0"/>
        <v>0.5</v>
      </c>
      <c r="D16" s="1">
        <f t="shared" si="1"/>
        <v>1.5</v>
      </c>
    </row>
    <row r="17" spans="1:5" x14ac:dyDescent="0.25">
      <c r="B17" t="s">
        <v>5</v>
      </c>
      <c r="C17" s="2">
        <f>AVERAGE(C12:C16)</f>
        <v>0.11000000000000001</v>
      </c>
      <c r="D17" s="3"/>
      <c r="E17" t="s">
        <v>7</v>
      </c>
    </row>
    <row r="18" spans="1:5" x14ac:dyDescent="0.25">
      <c r="D18" s="3">
        <f>PRODUCT(D12:D16)^(1/5)-1</f>
        <v>-2.0851637639023202E-2</v>
      </c>
      <c r="E18" t="s">
        <v>6</v>
      </c>
    </row>
    <row r="20" spans="1:5" x14ac:dyDescent="0.25">
      <c r="A20" s="13"/>
      <c r="B20" s="14" t="s">
        <v>28</v>
      </c>
      <c r="C20" s="13" t="e">
        <f>GEOMEAN(C12:C16)-1</f>
        <v>#NUM!</v>
      </c>
      <c r="D20">
        <f>GEOMEAN(D12:D16)-1</f>
        <v>-2.0851637639023202E-2</v>
      </c>
      <c r="E2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1"/>
  <sheetViews>
    <sheetView topLeftCell="B1" zoomScale="80" zoomScaleNormal="80" workbookViewId="0">
      <selection activeCell="P29" sqref="P29"/>
    </sheetView>
  </sheetViews>
  <sheetFormatPr defaultRowHeight="15" x14ac:dyDescent="0.25"/>
  <cols>
    <col min="1" max="1" width="13.85546875" bestFit="1" customWidth="1"/>
    <col min="3" max="3" width="14" customWidth="1"/>
    <col min="4" max="4" width="10.42578125" style="9" customWidth="1"/>
    <col min="5" max="5" width="8.7109375" style="9"/>
    <col min="15" max="18" width="11.5703125" customWidth="1"/>
  </cols>
  <sheetData>
    <row r="1" spans="1:18" x14ac:dyDescent="0.25">
      <c r="B1" s="8" t="s">
        <v>11</v>
      </c>
      <c r="C1" s="8" t="s">
        <v>12</v>
      </c>
      <c r="D1" s="9" t="s">
        <v>13</v>
      </c>
      <c r="E1" s="9" t="s">
        <v>14</v>
      </c>
    </row>
    <row r="2" spans="1:18" x14ac:dyDescent="0.25">
      <c r="A2" s="6">
        <v>45505</v>
      </c>
      <c r="B2" s="7">
        <v>480.25</v>
      </c>
      <c r="C2" s="7">
        <v>85.32</v>
      </c>
    </row>
    <row r="3" spans="1:18" x14ac:dyDescent="0.25">
      <c r="A3" s="6">
        <v>45506</v>
      </c>
      <c r="B3" s="7">
        <v>482.1</v>
      </c>
      <c r="C3" s="7">
        <v>86.01</v>
      </c>
      <c r="D3" s="9">
        <f>B3/B2-1</f>
        <v>3.8521603331598264E-3</v>
      </c>
      <c r="E3" s="9">
        <f>C3/C2-1</f>
        <v>8.0872011251760245E-3</v>
      </c>
    </row>
    <row r="4" spans="1:18" ht="15.75" thickBot="1" x14ac:dyDescent="0.3">
      <c r="A4" s="6">
        <v>45507</v>
      </c>
      <c r="B4" s="7">
        <v>478.75</v>
      </c>
      <c r="C4" s="7">
        <v>84.95</v>
      </c>
      <c r="D4" s="9">
        <f t="shared" ref="D4:D67" si="0">B4/B3-1</f>
        <v>-6.9487658162207255E-3</v>
      </c>
      <c r="E4" s="9">
        <f t="shared" ref="E4:E67" si="1">C4/C3-1</f>
        <v>-1.2324148354842523E-2</v>
      </c>
    </row>
    <row r="5" spans="1:18" x14ac:dyDescent="0.25">
      <c r="A5" s="6">
        <v>45508</v>
      </c>
      <c r="B5" s="7">
        <v>481.5</v>
      </c>
      <c r="C5" s="7">
        <v>85.6</v>
      </c>
      <c r="D5" s="9">
        <f t="shared" si="0"/>
        <v>5.7441253263708081E-3</v>
      </c>
      <c r="E5" s="9">
        <f t="shared" si="1"/>
        <v>7.6515597410240499E-3</v>
      </c>
      <c r="O5" s="12" t="s">
        <v>13</v>
      </c>
      <c r="P5" s="12"/>
      <c r="Q5" s="12" t="s">
        <v>14</v>
      </c>
      <c r="R5" s="12"/>
    </row>
    <row r="6" spans="1:18" x14ac:dyDescent="0.25">
      <c r="A6" s="6">
        <v>45509</v>
      </c>
      <c r="B6" s="7">
        <v>484.2</v>
      </c>
      <c r="C6" s="7">
        <v>86.45</v>
      </c>
      <c r="D6" s="9">
        <f t="shared" si="0"/>
        <v>5.6074766355140859E-3</v>
      </c>
      <c r="E6" s="9">
        <f t="shared" si="1"/>
        <v>9.9299065420561661E-3</v>
      </c>
      <c r="O6" s="10"/>
      <c r="P6" s="10"/>
      <c r="Q6" s="10"/>
      <c r="R6" s="10"/>
    </row>
    <row r="7" spans="1:18" x14ac:dyDescent="0.25">
      <c r="A7" s="6">
        <v>45510</v>
      </c>
      <c r="B7" s="7">
        <v>485.9</v>
      </c>
      <c r="C7" s="7">
        <v>87.1</v>
      </c>
      <c r="D7" s="9">
        <f t="shared" si="0"/>
        <v>3.5109458901281254E-3</v>
      </c>
      <c r="E7" s="9">
        <f t="shared" si="1"/>
        <v>7.5187969924810361E-3</v>
      </c>
      <c r="O7" s="10" t="s">
        <v>15</v>
      </c>
      <c r="P7" s="10">
        <v>8.032256392337819E-5</v>
      </c>
      <c r="Q7" s="10" t="s">
        <v>15</v>
      </c>
      <c r="R7" s="10">
        <v>1.6418979119568402E-4</v>
      </c>
    </row>
    <row r="8" spans="1:18" x14ac:dyDescent="0.25">
      <c r="A8" s="6">
        <v>45511</v>
      </c>
      <c r="B8" s="7">
        <v>488</v>
      </c>
      <c r="C8" s="7">
        <v>87.75</v>
      </c>
      <c r="D8" s="9">
        <f t="shared" si="0"/>
        <v>4.3218769294093295E-3</v>
      </c>
      <c r="E8" s="9">
        <f t="shared" si="1"/>
        <v>7.4626865671643117E-3</v>
      </c>
      <c r="O8" s="10" t="s">
        <v>16</v>
      </c>
      <c r="P8" s="10">
        <v>4.2487771304126963E-4</v>
      </c>
      <c r="Q8" s="10" t="s">
        <v>16</v>
      </c>
      <c r="R8" s="10">
        <v>7.4090662206645797E-4</v>
      </c>
    </row>
    <row r="9" spans="1:18" x14ac:dyDescent="0.25">
      <c r="A9" s="6">
        <v>45512</v>
      </c>
      <c r="B9" s="7">
        <v>490.15</v>
      </c>
      <c r="C9" s="7">
        <v>88.4</v>
      </c>
      <c r="D9" s="9">
        <f t="shared" si="0"/>
        <v>4.4057377049180335E-3</v>
      </c>
      <c r="E9" s="9">
        <f t="shared" si="1"/>
        <v>7.4074074074075291E-3</v>
      </c>
      <c r="O9" s="10" t="s">
        <v>17</v>
      </c>
      <c r="P9" s="10">
        <v>3.8521603331598264E-3</v>
      </c>
      <c r="Q9" s="10" t="s">
        <v>17</v>
      </c>
      <c r="R9" s="10">
        <v>7.4626865671643117E-3</v>
      </c>
    </row>
    <row r="10" spans="1:18" x14ac:dyDescent="0.25">
      <c r="A10" s="6">
        <v>45513</v>
      </c>
      <c r="B10" s="7">
        <v>487.8</v>
      </c>
      <c r="C10" s="7">
        <v>87.95</v>
      </c>
      <c r="D10" s="9">
        <f t="shared" si="0"/>
        <v>-4.7944506783637042E-3</v>
      </c>
      <c r="E10" s="9">
        <f t="shared" si="1"/>
        <v>-5.090497737556543E-3</v>
      </c>
      <c r="O10" s="10" t="s">
        <v>18</v>
      </c>
      <c r="P10" s="10">
        <v>3.8521603331598264E-3</v>
      </c>
      <c r="Q10" s="10" t="s">
        <v>18</v>
      </c>
      <c r="R10" s="10">
        <v>8.0872011251760245E-3</v>
      </c>
    </row>
    <row r="11" spans="1:18" x14ac:dyDescent="0.25">
      <c r="A11" s="6">
        <v>45514</v>
      </c>
      <c r="B11" s="7">
        <v>486.25</v>
      </c>
      <c r="C11" s="7">
        <v>87.2</v>
      </c>
      <c r="D11" s="9">
        <f t="shared" si="0"/>
        <v>-3.1775317753177656E-3</v>
      </c>
      <c r="E11" s="9">
        <f t="shared" si="1"/>
        <v>-8.5275724843660861E-3</v>
      </c>
      <c r="O11" s="10" t="s">
        <v>19</v>
      </c>
      <c r="P11" s="10">
        <v>5.9936377215174357E-3</v>
      </c>
      <c r="Q11" s="10" t="s">
        <v>19</v>
      </c>
      <c r="R11" s="10">
        <v>1.0451774103077616E-2</v>
      </c>
    </row>
    <row r="12" spans="1:18" x14ac:dyDescent="0.25">
      <c r="A12" s="6">
        <v>45515</v>
      </c>
      <c r="B12" s="7">
        <v>480.25</v>
      </c>
      <c r="C12" s="7">
        <v>85.32</v>
      </c>
      <c r="D12" s="9">
        <f t="shared" si="0"/>
        <v>-1.2339331619537264E-2</v>
      </c>
      <c r="E12" s="9">
        <f t="shared" si="1"/>
        <v>-2.1559633027523062E-2</v>
      </c>
      <c r="O12" s="10" t="s">
        <v>20</v>
      </c>
      <c r="P12" s="10">
        <v>3.5923693136796719E-5</v>
      </c>
      <c r="Q12" s="10" t="s">
        <v>20</v>
      </c>
      <c r="R12" s="10">
        <v>1.092395819017639E-4</v>
      </c>
    </row>
    <row r="13" spans="1:18" x14ac:dyDescent="0.25">
      <c r="A13" s="6">
        <v>45516</v>
      </c>
      <c r="B13" s="7">
        <v>482.1</v>
      </c>
      <c r="C13" s="7">
        <v>86.01</v>
      </c>
      <c r="D13" s="9">
        <f t="shared" si="0"/>
        <v>3.8521603331598264E-3</v>
      </c>
      <c r="E13" s="9">
        <f t="shared" si="1"/>
        <v>8.0872011251760245E-3</v>
      </c>
      <c r="O13" s="10" t="s">
        <v>21</v>
      </c>
      <c r="P13" s="10">
        <v>-0.7306373204444343</v>
      </c>
      <c r="Q13" s="10" t="s">
        <v>21</v>
      </c>
      <c r="R13" s="10">
        <v>-0.71585967912053539</v>
      </c>
    </row>
    <row r="14" spans="1:18" x14ac:dyDescent="0.25">
      <c r="A14" s="6">
        <v>45517</v>
      </c>
      <c r="B14" s="7">
        <v>478.75</v>
      </c>
      <c r="C14" s="7">
        <v>84.95</v>
      </c>
      <c r="D14" s="9">
        <f t="shared" si="0"/>
        <v>-6.9487658162207255E-3</v>
      </c>
      <c r="E14" s="9">
        <f t="shared" si="1"/>
        <v>-1.2324148354842523E-2</v>
      </c>
      <c r="O14" s="10" t="s">
        <v>22</v>
      </c>
      <c r="P14" s="10">
        <v>-0.81311612388435939</v>
      </c>
      <c r="Q14" s="10" t="s">
        <v>22</v>
      </c>
      <c r="R14" s="10">
        <v>-0.84664814185738957</v>
      </c>
    </row>
    <row r="15" spans="1:18" x14ac:dyDescent="0.25">
      <c r="A15" s="6">
        <v>45518</v>
      </c>
      <c r="B15" s="7">
        <v>481.5</v>
      </c>
      <c r="C15" s="7">
        <v>85.6</v>
      </c>
      <c r="D15" s="9">
        <f t="shared" si="0"/>
        <v>5.7441253263708081E-3</v>
      </c>
      <c r="E15" s="9">
        <f t="shared" si="1"/>
        <v>7.6515597410240499E-3</v>
      </c>
      <c r="O15" s="10" t="s">
        <v>23</v>
      </c>
      <c r="P15" s="10">
        <v>1.8083456945908072E-2</v>
      </c>
      <c r="Q15" s="10" t="s">
        <v>23</v>
      </c>
      <c r="R15" s="10">
        <v>3.1489539569579228E-2</v>
      </c>
    </row>
    <row r="16" spans="1:18" x14ac:dyDescent="0.25">
      <c r="A16" s="6">
        <v>45519</v>
      </c>
      <c r="B16" s="7">
        <v>484.2</v>
      </c>
      <c r="C16" s="7">
        <v>86.45</v>
      </c>
      <c r="D16" s="9">
        <f t="shared" si="0"/>
        <v>5.6074766355140859E-3</v>
      </c>
      <c r="E16" s="9">
        <f t="shared" si="1"/>
        <v>9.9299065420561661E-3</v>
      </c>
      <c r="O16" s="10" t="s">
        <v>24</v>
      </c>
      <c r="P16" s="10">
        <v>-1.2339331619537264E-2</v>
      </c>
      <c r="Q16" s="10" t="s">
        <v>24</v>
      </c>
      <c r="R16" s="10">
        <v>-2.1559633027523062E-2</v>
      </c>
    </row>
    <row r="17" spans="1:18" x14ac:dyDescent="0.25">
      <c r="A17" s="6">
        <v>45520</v>
      </c>
      <c r="B17" s="7">
        <v>485.9</v>
      </c>
      <c r="C17" s="7">
        <v>87.1</v>
      </c>
      <c r="D17" s="9">
        <f t="shared" si="0"/>
        <v>3.5109458901281254E-3</v>
      </c>
      <c r="E17" s="9">
        <f t="shared" si="1"/>
        <v>7.5187969924810361E-3</v>
      </c>
      <c r="O17" s="10" t="s">
        <v>25</v>
      </c>
      <c r="P17" s="10">
        <v>5.7441253263708081E-3</v>
      </c>
      <c r="Q17" s="10" t="s">
        <v>25</v>
      </c>
      <c r="R17" s="10">
        <v>9.9299065420561661E-3</v>
      </c>
    </row>
    <row r="18" spans="1:18" x14ac:dyDescent="0.25">
      <c r="A18" s="6">
        <v>45521</v>
      </c>
      <c r="B18" s="7">
        <v>488</v>
      </c>
      <c r="C18" s="7">
        <v>87.75</v>
      </c>
      <c r="D18" s="9">
        <f t="shared" si="0"/>
        <v>4.3218769294093295E-3</v>
      </c>
      <c r="E18" s="9">
        <f t="shared" si="1"/>
        <v>7.4626865671643117E-3</v>
      </c>
      <c r="O18" s="10" t="s">
        <v>26</v>
      </c>
      <c r="P18" s="10">
        <v>1.5984190220752259E-2</v>
      </c>
      <c r="Q18" s="10" t="s">
        <v>26</v>
      </c>
      <c r="R18" s="10">
        <v>3.2673768447941121E-2</v>
      </c>
    </row>
    <row r="19" spans="1:18" ht="15.75" thickBot="1" x14ac:dyDescent="0.3">
      <c r="A19" s="6">
        <v>45522</v>
      </c>
      <c r="B19" s="7">
        <v>490.15</v>
      </c>
      <c r="C19" s="7">
        <v>88.4</v>
      </c>
      <c r="D19" s="9">
        <f t="shared" si="0"/>
        <v>4.4057377049180335E-3</v>
      </c>
      <c r="E19" s="9">
        <f t="shared" si="1"/>
        <v>7.4074074074075291E-3</v>
      </c>
      <c r="O19" s="11" t="s">
        <v>27</v>
      </c>
      <c r="P19" s="11">
        <v>199</v>
      </c>
      <c r="Q19" s="11" t="s">
        <v>27</v>
      </c>
      <c r="R19" s="11">
        <v>199</v>
      </c>
    </row>
    <row r="20" spans="1:18" x14ac:dyDescent="0.25">
      <c r="A20" s="6">
        <v>45523</v>
      </c>
      <c r="B20" s="7">
        <v>487.8</v>
      </c>
      <c r="C20" s="7">
        <v>87.95</v>
      </c>
      <c r="D20" s="9">
        <f t="shared" si="0"/>
        <v>-4.7944506783637042E-3</v>
      </c>
      <c r="E20" s="9">
        <f t="shared" si="1"/>
        <v>-5.090497737556543E-3</v>
      </c>
      <c r="P20">
        <v>1</v>
      </c>
      <c r="R20">
        <v>3</v>
      </c>
    </row>
    <row r="21" spans="1:18" x14ac:dyDescent="0.25">
      <c r="A21" s="6">
        <v>45524</v>
      </c>
      <c r="B21" s="7">
        <v>486.25</v>
      </c>
      <c r="C21" s="7">
        <v>87.2</v>
      </c>
      <c r="D21" s="9">
        <f t="shared" si="0"/>
        <v>-3.1775317753177656E-3</v>
      </c>
      <c r="E21" s="9">
        <f t="shared" si="1"/>
        <v>-8.5275724843660861E-3</v>
      </c>
    </row>
    <row r="22" spans="1:18" x14ac:dyDescent="0.25">
      <c r="A22" s="6">
        <v>45525</v>
      </c>
      <c r="B22" s="7">
        <v>480.25</v>
      </c>
      <c r="C22" s="7">
        <v>85.32</v>
      </c>
      <c r="D22" s="9">
        <f t="shared" si="0"/>
        <v>-1.2339331619537264E-2</v>
      </c>
      <c r="E22" s="9">
        <f t="shared" si="1"/>
        <v>-2.1559633027523062E-2</v>
      </c>
    </row>
    <row r="23" spans="1:18" x14ac:dyDescent="0.25">
      <c r="A23" s="6">
        <v>45526</v>
      </c>
      <c r="B23" s="7">
        <v>482.1</v>
      </c>
      <c r="C23" s="7">
        <v>86.01</v>
      </c>
      <c r="D23" s="9">
        <f t="shared" si="0"/>
        <v>3.8521603331598264E-3</v>
      </c>
      <c r="E23" s="9">
        <f t="shared" si="1"/>
        <v>8.0872011251760245E-3</v>
      </c>
    </row>
    <row r="24" spans="1:18" x14ac:dyDescent="0.25">
      <c r="A24" s="6">
        <v>45527</v>
      </c>
      <c r="B24" s="7">
        <v>478.75</v>
      </c>
      <c r="C24" s="7">
        <v>84.95</v>
      </c>
      <c r="D24" s="9">
        <f t="shared" si="0"/>
        <v>-6.9487658162207255E-3</v>
      </c>
      <c r="E24" s="9">
        <f t="shared" si="1"/>
        <v>-1.2324148354842523E-2</v>
      </c>
    </row>
    <row r="25" spans="1:18" x14ac:dyDescent="0.25">
      <c r="A25" s="6">
        <v>45528</v>
      </c>
      <c r="B25" s="7">
        <v>481.5</v>
      </c>
      <c r="C25" s="7">
        <v>85.6</v>
      </c>
      <c r="D25" s="9">
        <f t="shared" si="0"/>
        <v>5.7441253263708081E-3</v>
      </c>
      <c r="E25" s="9">
        <f t="shared" si="1"/>
        <v>7.6515597410240499E-3</v>
      </c>
    </row>
    <row r="26" spans="1:18" x14ac:dyDescent="0.25">
      <c r="A26" s="6">
        <v>45529</v>
      </c>
      <c r="B26" s="7">
        <v>484.2</v>
      </c>
      <c r="C26" s="7">
        <v>86.45</v>
      </c>
      <c r="D26" s="9">
        <f t="shared" si="0"/>
        <v>5.6074766355140859E-3</v>
      </c>
      <c r="E26" s="9">
        <f t="shared" si="1"/>
        <v>9.9299065420561661E-3</v>
      </c>
    </row>
    <row r="27" spans="1:18" x14ac:dyDescent="0.25">
      <c r="A27" s="6">
        <v>45530</v>
      </c>
      <c r="B27" s="7">
        <v>485.9</v>
      </c>
      <c r="C27" s="7">
        <v>87.1</v>
      </c>
      <c r="D27" s="9">
        <f t="shared" si="0"/>
        <v>3.5109458901281254E-3</v>
      </c>
      <c r="E27" s="9">
        <f t="shared" si="1"/>
        <v>7.5187969924810361E-3</v>
      </c>
    </row>
    <row r="28" spans="1:18" x14ac:dyDescent="0.25">
      <c r="A28" s="6">
        <v>45531</v>
      </c>
      <c r="B28" s="7">
        <v>488</v>
      </c>
      <c r="C28" s="7">
        <v>87.75</v>
      </c>
      <c r="D28" s="9">
        <f t="shared" si="0"/>
        <v>4.3218769294093295E-3</v>
      </c>
      <c r="E28" s="9">
        <f t="shared" si="1"/>
        <v>7.4626865671643117E-3</v>
      </c>
    </row>
    <row r="29" spans="1:18" x14ac:dyDescent="0.25">
      <c r="A29" s="6">
        <v>45532</v>
      </c>
      <c r="B29" s="7">
        <v>490.15</v>
      </c>
      <c r="C29" s="7">
        <v>88.4</v>
      </c>
      <c r="D29" s="9">
        <f t="shared" si="0"/>
        <v>4.4057377049180335E-3</v>
      </c>
      <c r="E29" s="9">
        <f t="shared" si="1"/>
        <v>7.4074074074075291E-3</v>
      </c>
    </row>
    <row r="30" spans="1:18" x14ac:dyDescent="0.25">
      <c r="A30" s="6">
        <v>45533</v>
      </c>
      <c r="B30" s="7">
        <v>487.8</v>
      </c>
      <c r="C30" s="7">
        <v>87.95</v>
      </c>
      <c r="D30" s="9">
        <f t="shared" si="0"/>
        <v>-4.7944506783637042E-3</v>
      </c>
      <c r="E30" s="9">
        <f t="shared" si="1"/>
        <v>-5.090497737556543E-3</v>
      </c>
    </row>
    <row r="31" spans="1:18" x14ac:dyDescent="0.25">
      <c r="A31" s="6">
        <v>45534</v>
      </c>
      <c r="B31" s="7">
        <v>486.25</v>
      </c>
      <c r="C31" s="7">
        <v>87.2</v>
      </c>
      <c r="D31" s="9">
        <f t="shared" si="0"/>
        <v>-3.1775317753177656E-3</v>
      </c>
      <c r="E31" s="9">
        <f t="shared" si="1"/>
        <v>-8.5275724843660861E-3</v>
      </c>
    </row>
    <row r="32" spans="1:18" x14ac:dyDescent="0.25">
      <c r="A32" s="6">
        <v>45535</v>
      </c>
      <c r="B32" s="7">
        <v>480.25</v>
      </c>
      <c r="C32" s="7">
        <v>85.32</v>
      </c>
      <c r="D32" s="9">
        <f t="shared" si="0"/>
        <v>-1.2339331619537264E-2</v>
      </c>
      <c r="E32" s="9">
        <f t="shared" si="1"/>
        <v>-2.1559633027523062E-2</v>
      </c>
    </row>
    <row r="33" spans="1:5" x14ac:dyDescent="0.25">
      <c r="A33" s="6">
        <v>45536</v>
      </c>
      <c r="B33" s="7">
        <v>482.1</v>
      </c>
      <c r="C33" s="7">
        <v>86.01</v>
      </c>
      <c r="D33" s="9">
        <f t="shared" si="0"/>
        <v>3.8521603331598264E-3</v>
      </c>
      <c r="E33" s="9">
        <f t="shared" si="1"/>
        <v>8.0872011251760245E-3</v>
      </c>
    </row>
    <row r="34" spans="1:5" x14ac:dyDescent="0.25">
      <c r="A34" s="6">
        <v>45537</v>
      </c>
      <c r="B34" s="7">
        <v>478.75</v>
      </c>
      <c r="C34" s="7">
        <v>84.95</v>
      </c>
      <c r="D34" s="9">
        <f t="shared" si="0"/>
        <v>-6.9487658162207255E-3</v>
      </c>
      <c r="E34" s="9">
        <f t="shared" si="1"/>
        <v>-1.2324148354842523E-2</v>
      </c>
    </row>
    <row r="35" spans="1:5" x14ac:dyDescent="0.25">
      <c r="A35" s="6">
        <v>45538</v>
      </c>
      <c r="B35" s="7">
        <v>481.5</v>
      </c>
      <c r="C35" s="7">
        <v>85.6</v>
      </c>
      <c r="D35" s="9">
        <f t="shared" si="0"/>
        <v>5.7441253263708081E-3</v>
      </c>
      <c r="E35" s="9">
        <f t="shared" si="1"/>
        <v>7.6515597410240499E-3</v>
      </c>
    </row>
    <row r="36" spans="1:5" x14ac:dyDescent="0.25">
      <c r="A36" s="6">
        <v>45539</v>
      </c>
      <c r="B36" s="7">
        <v>484.2</v>
      </c>
      <c r="C36" s="7">
        <v>86.45</v>
      </c>
      <c r="D36" s="9">
        <f t="shared" si="0"/>
        <v>5.6074766355140859E-3</v>
      </c>
      <c r="E36" s="9">
        <f t="shared" si="1"/>
        <v>9.9299065420561661E-3</v>
      </c>
    </row>
    <row r="37" spans="1:5" x14ac:dyDescent="0.25">
      <c r="A37" s="6">
        <v>45540</v>
      </c>
      <c r="B37" s="7">
        <v>485.9</v>
      </c>
      <c r="C37" s="7">
        <v>87.1</v>
      </c>
      <c r="D37" s="9">
        <f t="shared" si="0"/>
        <v>3.5109458901281254E-3</v>
      </c>
      <c r="E37" s="9">
        <f t="shared" si="1"/>
        <v>7.5187969924810361E-3</v>
      </c>
    </row>
    <row r="38" spans="1:5" x14ac:dyDescent="0.25">
      <c r="A38" s="6">
        <v>45541</v>
      </c>
      <c r="B38" s="7">
        <v>488</v>
      </c>
      <c r="C38" s="7">
        <v>87.75</v>
      </c>
      <c r="D38" s="9">
        <f t="shared" si="0"/>
        <v>4.3218769294093295E-3</v>
      </c>
      <c r="E38" s="9">
        <f t="shared" si="1"/>
        <v>7.4626865671643117E-3</v>
      </c>
    </row>
    <row r="39" spans="1:5" x14ac:dyDescent="0.25">
      <c r="A39" s="6">
        <v>45542</v>
      </c>
      <c r="B39" s="7">
        <v>490.15</v>
      </c>
      <c r="C39" s="7">
        <v>88.4</v>
      </c>
      <c r="D39" s="9">
        <f t="shared" si="0"/>
        <v>4.4057377049180335E-3</v>
      </c>
      <c r="E39" s="9">
        <f t="shared" si="1"/>
        <v>7.4074074074075291E-3</v>
      </c>
    </row>
    <row r="40" spans="1:5" x14ac:dyDescent="0.25">
      <c r="A40" s="6">
        <v>45543</v>
      </c>
      <c r="B40" s="7">
        <v>487.8</v>
      </c>
      <c r="C40" s="7">
        <v>87.95</v>
      </c>
      <c r="D40" s="9">
        <f t="shared" si="0"/>
        <v>-4.7944506783637042E-3</v>
      </c>
      <c r="E40" s="9">
        <f t="shared" si="1"/>
        <v>-5.090497737556543E-3</v>
      </c>
    </row>
    <row r="41" spans="1:5" x14ac:dyDescent="0.25">
      <c r="A41" s="6">
        <v>45544</v>
      </c>
      <c r="B41" s="7">
        <v>486.25</v>
      </c>
      <c r="C41" s="7">
        <v>87.2</v>
      </c>
      <c r="D41" s="9">
        <f t="shared" si="0"/>
        <v>-3.1775317753177656E-3</v>
      </c>
      <c r="E41" s="9">
        <f t="shared" si="1"/>
        <v>-8.5275724843660861E-3</v>
      </c>
    </row>
    <row r="42" spans="1:5" x14ac:dyDescent="0.25">
      <c r="A42" s="6">
        <v>45545</v>
      </c>
      <c r="B42" s="7">
        <v>480.25</v>
      </c>
      <c r="C42" s="7">
        <v>85.32</v>
      </c>
      <c r="D42" s="9">
        <f t="shared" si="0"/>
        <v>-1.2339331619537264E-2</v>
      </c>
      <c r="E42" s="9">
        <f t="shared" si="1"/>
        <v>-2.1559633027523062E-2</v>
      </c>
    </row>
    <row r="43" spans="1:5" x14ac:dyDescent="0.25">
      <c r="A43" s="6">
        <v>45546</v>
      </c>
      <c r="B43" s="7">
        <v>482.1</v>
      </c>
      <c r="C43" s="7">
        <v>86.01</v>
      </c>
      <c r="D43" s="9">
        <f t="shared" si="0"/>
        <v>3.8521603331598264E-3</v>
      </c>
      <c r="E43" s="9">
        <f t="shared" si="1"/>
        <v>8.0872011251760245E-3</v>
      </c>
    </row>
    <row r="44" spans="1:5" x14ac:dyDescent="0.25">
      <c r="A44" s="6">
        <v>45547</v>
      </c>
      <c r="B44" s="7">
        <v>478.75</v>
      </c>
      <c r="C44" s="7">
        <v>84.95</v>
      </c>
      <c r="D44" s="9">
        <f t="shared" si="0"/>
        <v>-6.9487658162207255E-3</v>
      </c>
      <c r="E44" s="9">
        <f t="shared" si="1"/>
        <v>-1.2324148354842523E-2</v>
      </c>
    </row>
    <row r="45" spans="1:5" x14ac:dyDescent="0.25">
      <c r="A45" s="6">
        <v>45548</v>
      </c>
      <c r="B45" s="7">
        <v>481.5</v>
      </c>
      <c r="C45" s="7">
        <v>85.6</v>
      </c>
      <c r="D45" s="9">
        <f t="shared" si="0"/>
        <v>5.7441253263708081E-3</v>
      </c>
      <c r="E45" s="9">
        <f t="shared" si="1"/>
        <v>7.6515597410240499E-3</v>
      </c>
    </row>
    <row r="46" spans="1:5" x14ac:dyDescent="0.25">
      <c r="A46" s="6">
        <v>45549</v>
      </c>
      <c r="B46" s="7">
        <v>484.2</v>
      </c>
      <c r="C46" s="7">
        <v>86.45</v>
      </c>
      <c r="D46" s="9">
        <f t="shared" si="0"/>
        <v>5.6074766355140859E-3</v>
      </c>
      <c r="E46" s="9">
        <f t="shared" si="1"/>
        <v>9.9299065420561661E-3</v>
      </c>
    </row>
    <row r="47" spans="1:5" x14ac:dyDescent="0.25">
      <c r="A47" s="6">
        <v>45550</v>
      </c>
      <c r="B47" s="7">
        <v>485.9</v>
      </c>
      <c r="C47" s="7">
        <v>87.1</v>
      </c>
      <c r="D47" s="9">
        <f t="shared" si="0"/>
        <v>3.5109458901281254E-3</v>
      </c>
      <c r="E47" s="9">
        <f t="shared" si="1"/>
        <v>7.5187969924810361E-3</v>
      </c>
    </row>
    <row r="48" spans="1:5" x14ac:dyDescent="0.25">
      <c r="A48" s="6">
        <v>45551</v>
      </c>
      <c r="B48" s="7">
        <v>488</v>
      </c>
      <c r="C48" s="7">
        <v>87.75</v>
      </c>
      <c r="D48" s="9">
        <f t="shared" si="0"/>
        <v>4.3218769294093295E-3</v>
      </c>
      <c r="E48" s="9">
        <f t="shared" si="1"/>
        <v>7.4626865671643117E-3</v>
      </c>
    </row>
    <row r="49" spans="1:5" x14ac:dyDescent="0.25">
      <c r="A49" s="6">
        <v>45552</v>
      </c>
      <c r="B49" s="7">
        <v>490.15</v>
      </c>
      <c r="C49" s="7">
        <v>88.4</v>
      </c>
      <c r="D49" s="9">
        <f t="shared" si="0"/>
        <v>4.4057377049180335E-3</v>
      </c>
      <c r="E49" s="9">
        <f t="shared" si="1"/>
        <v>7.4074074074075291E-3</v>
      </c>
    </row>
    <row r="50" spans="1:5" x14ac:dyDescent="0.25">
      <c r="A50" s="6">
        <v>45553</v>
      </c>
      <c r="B50" s="7">
        <v>487.8</v>
      </c>
      <c r="C50" s="7">
        <v>87.95</v>
      </c>
      <c r="D50" s="9">
        <f t="shared" si="0"/>
        <v>-4.7944506783637042E-3</v>
      </c>
      <c r="E50" s="9">
        <f t="shared" si="1"/>
        <v>-5.090497737556543E-3</v>
      </c>
    </row>
    <row r="51" spans="1:5" x14ac:dyDescent="0.25">
      <c r="A51" s="6">
        <v>45554</v>
      </c>
      <c r="B51" s="7">
        <v>486.25</v>
      </c>
      <c r="C51" s="7">
        <v>87.2</v>
      </c>
      <c r="D51" s="9">
        <f t="shared" si="0"/>
        <v>-3.1775317753177656E-3</v>
      </c>
      <c r="E51" s="9">
        <f t="shared" si="1"/>
        <v>-8.5275724843660861E-3</v>
      </c>
    </row>
    <row r="52" spans="1:5" x14ac:dyDescent="0.25">
      <c r="A52" s="6">
        <v>45555</v>
      </c>
      <c r="B52" s="7">
        <v>480.25</v>
      </c>
      <c r="C52" s="7">
        <v>85.32</v>
      </c>
      <c r="D52" s="9">
        <f t="shared" si="0"/>
        <v>-1.2339331619537264E-2</v>
      </c>
      <c r="E52" s="9">
        <f t="shared" si="1"/>
        <v>-2.1559633027523062E-2</v>
      </c>
    </row>
    <row r="53" spans="1:5" x14ac:dyDescent="0.25">
      <c r="A53" s="6">
        <v>45556</v>
      </c>
      <c r="B53" s="7">
        <v>482.1</v>
      </c>
      <c r="C53" s="7">
        <v>86.01</v>
      </c>
      <c r="D53" s="9">
        <f t="shared" si="0"/>
        <v>3.8521603331598264E-3</v>
      </c>
      <c r="E53" s="9">
        <f t="shared" si="1"/>
        <v>8.0872011251760245E-3</v>
      </c>
    </row>
    <row r="54" spans="1:5" x14ac:dyDescent="0.25">
      <c r="A54" s="6">
        <v>45557</v>
      </c>
      <c r="B54" s="7">
        <v>478.75</v>
      </c>
      <c r="C54" s="7">
        <v>84.95</v>
      </c>
      <c r="D54" s="9">
        <f t="shared" si="0"/>
        <v>-6.9487658162207255E-3</v>
      </c>
      <c r="E54" s="9">
        <f t="shared" si="1"/>
        <v>-1.2324148354842523E-2</v>
      </c>
    </row>
    <row r="55" spans="1:5" x14ac:dyDescent="0.25">
      <c r="A55" s="6">
        <v>45558</v>
      </c>
      <c r="B55" s="7">
        <v>481.5</v>
      </c>
      <c r="C55" s="7">
        <v>85.6</v>
      </c>
      <c r="D55" s="9">
        <f t="shared" si="0"/>
        <v>5.7441253263708081E-3</v>
      </c>
      <c r="E55" s="9">
        <f t="shared" si="1"/>
        <v>7.6515597410240499E-3</v>
      </c>
    </row>
    <row r="56" spans="1:5" x14ac:dyDescent="0.25">
      <c r="A56" s="6">
        <v>45559</v>
      </c>
      <c r="B56" s="7">
        <v>484.2</v>
      </c>
      <c r="C56" s="7">
        <v>86.45</v>
      </c>
      <c r="D56" s="9">
        <f t="shared" si="0"/>
        <v>5.6074766355140859E-3</v>
      </c>
      <c r="E56" s="9">
        <f t="shared" si="1"/>
        <v>9.9299065420561661E-3</v>
      </c>
    </row>
    <row r="57" spans="1:5" x14ac:dyDescent="0.25">
      <c r="A57" s="6">
        <v>45560</v>
      </c>
      <c r="B57" s="7">
        <v>485.9</v>
      </c>
      <c r="C57" s="7">
        <v>87.1</v>
      </c>
      <c r="D57" s="9">
        <f t="shared" si="0"/>
        <v>3.5109458901281254E-3</v>
      </c>
      <c r="E57" s="9">
        <f t="shared" si="1"/>
        <v>7.5187969924810361E-3</v>
      </c>
    </row>
    <row r="58" spans="1:5" x14ac:dyDescent="0.25">
      <c r="A58" s="6">
        <v>45561</v>
      </c>
      <c r="B58" s="7">
        <v>488</v>
      </c>
      <c r="C58" s="7">
        <v>87.75</v>
      </c>
      <c r="D58" s="9">
        <f t="shared" si="0"/>
        <v>4.3218769294093295E-3</v>
      </c>
      <c r="E58" s="9">
        <f t="shared" si="1"/>
        <v>7.4626865671643117E-3</v>
      </c>
    </row>
    <row r="59" spans="1:5" x14ac:dyDescent="0.25">
      <c r="A59" s="6">
        <v>45562</v>
      </c>
      <c r="B59" s="7">
        <v>490.15</v>
      </c>
      <c r="C59" s="7">
        <v>88.4</v>
      </c>
      <c r="D59" s="9">
        <f t="shared" si="0"/>
        <v>4.4057377049180335E-3</v>
      </c>
      <c r="E59" s="9">
        <f t="shared" si="1"/>
        <v>7.4074074074075291E-3</v>
      </c>
    </row>
    <row r="60" spans="1:5" x14ac:dyDescent="0.25">
      <c r="A60" s="6">
        <v>45563</v>
      </c>
      <c r="B60" s="7">
        <v>487.8</v>
      </c>
      <c r="C60" s="7">
        <v>87.95</v>
      </c>
      <c r="D60" s="9">
        <f t="shared" si="0"/>
        <v>-4.7944506783637042E-3</v>
      </c>
      <c r="E60" s="9">
        <f t="shared" si="1"/>
        <v>-5.090497737556543E-3</v>
      </c>
    </row>
    <row r="61" spans="1:5" x14ac:dyDescent="0.25">
      <c r="A61" s="6">
        <v>45564</v>
      </c>
      <c r="B61" s="7">
        <v>486.25</v>
      </c>
      <c r="C61" s="7">
        <v>87.2</v>
      </c>
      <c r="D61" s="9">
        <f t="shared" si="0"/>
        <v>-3.1775317753177656E-3</v>
      </c>
      <c r="E61" s="9">
        <f t="shared" si="1"/>
        <v>-8.5275724843660861E-3</v>
      </c>
    </row>
    <row r="62" spans="1:5" x14ac:dyDescent="0.25">
      <c r="A62" s="6">
        <v>45565</v>
      </c>
      <c r="B62" s="7">
        <v>480.25</v>
      </c>
      <c r="C62" s="7">
        <v>85.32</v>
      </c>
      <c r="D62" s="9">
        <f t="shared" si="0"/>
        <v>-1.2339331619537264E-2</v>
      </c>
      <c r="E62" s="9">
        <f t="shared" si="1"/>
        <v>-2.1559633027523062E-2</v>
      </c>
    </row>
    <row r="63" spans="1:5" x14ac:dyDescent="0.25">
      <c r="A63" s="6">
        <v>45566</v>
      </c>
      <c r="B63" s="7">
        <v>482.1</v>
      </c>
      <c r="C63" s="7">
        <v>86.01</v>
      </c>
      <c r="D63" s="9">
        <f t="shared" si="0"/>
        <v>3.8521603331598264E-3</v>
      </c>
      <c r="E63" s="9">
        <f t="shared" si="1"/>
        <v>8.0872011251760245E-3</v>
      </c>
    </row>
    <row r="64" spans="1:5" x14ac:dyDescent="0.25">
      <c r="A64" s="6">
        <v>45567</v>
      </c>
      <c r="B64" s="7">
        <v>478.75</v>
      </c>
      <c r="C64" s="7">
        <v>84.95</v>
      </c>
      <c r="D64" s="9">
        <f t="shared" si="0"/>
        <v>-6.9487658162207255E-3</v>
      </c>
      <c r="E64" s="9">
        <f t="shared" si="1"/>
        <v>-1.2324148354842523E-2</v>
      </c>
    </row>
    <row r="65" spans="1:5" x14ac:dyDescent="0.25">
      <c r="A65" s="6">
        <v>45568</v>
      </c>
      <c r="B65" s="7">
        <v>481.5</v>
      </c>
      <c r="C65" s="7">
        <v>85.6</v>
      </c>
      <c r="D65" s="9">
        <f t="shared" si="0"/>
        <v>5.7441253263708081E-3</v>
      </c>
      <c r="E65" s="9">
        <f t="shared" si="1"/>
        <v>7.6515597410240499E-3</v>
      </c>
    </row>
    <row r="66" spans="1:5" x14ac:dyDescent="0.25">
      <c r="A66" s="6">
        <v>45569</v>
      </c>
      <c r="B66" s="7">
        <v>484.2</v>
      </c>
      <c r="C66" s="7">
        <v>86.45</v>
      </c>
      <c r="D66" s="9">
        <f t="shared" si="0"/>
        <v>5.6074766355140859E-3</v>
      </c>
      <c r="E66" s="9">
        <f t="shared" si="1"/>
        <v>9.9299065420561661E-3</v>
      </c>
    </row>
    <row r="67" spans="1:5" x14ac:dyDescent="0.25">
      <c r="A67" s="6">
        <v>45570</v>
      </c>
      <c r="B67" s="7">
        <v>485.9</v>
      </c>
      <c r="C67" s="7">
        <v>87.1</v>
      </c>
      <c r="D67" s="9">
        <f t="shared" si="0"/>
        <v>3.5109458901281254E-3</v>
      </c>
      <c r="E67" s="9">
        <f t="shared" si="1"/>
        <v>7.5187969924810361E-3</v>
      </c>
    </row>
    <row r="68" spans="1:5" x14ac:dyDescent="0.25">
      <c r="A68" s="6">
        <v>45571</v>
      </c>
      <c r="B68" s="7">
        <v>488</v>
      </c>
      <c r="C68" s="7">
        <v>87.75</v>
      </c>
      <c r="D68" s="9">
        <f t="shared" ref="D68:D131" si="2">B68/B67-1</f>
        <v>4.3218769294093295E-3</v>
      </c>
      <c r="E68" s="9">
        <f t="shared" ref="E68:E131" si="3">C68/C67-1</f>
        <v>7.4626865671643117E-3</v>
      </c>
    </row>
    <row r="69" spans="1:5" x14ac:dyDescent="0.25">
      <c r="A69" s="6">
        <v>45572</v>
      </c>
      <c r="B69" s="7">
        <v>490.15</v>
      </c>
      <c r="C69" s="7">
        <v>88.4</v>
      </c>
      <c r="D69" s="9">
        <f t="shared" si="2"/>
        <v>4.4057377049180335E-3</v>
      </c>
      <c r="E69" s="9">
        <f t="shared" si="3"/>
        <v>7.4074074074075291E-3</v>
      </c>
    </row>
    <row r="70" spans="1:5" x14ac:dyDescent="0.25">
      <c r="A70" s="6">
        <v>45573</v>
      </c>
      <c r="B70" s="7">
        <v>487.8</v>
      </c>
      <c r="C70" s="7">
        <v>87.95</v>
      </c>
      <c r="D70" s="9">
        <f t="shared" si="2"/>
        <v>-4.7944506783637042E-3</v>
      </c>
      <c r="E70" s="9">
        <f t="shared" si="3"/>
        <v>-5.090497737556543E-3</v>
      </c>
    </row>
    <row r="71" spans="1:5" x14ac:dyDescent="0.25">
      <c r="A71" s="6">
        <v>45574</v>
      </c>
      <c r="B71" s="7">
        <v>486.25</v>
      </c>
      <c r="C71" s="7">
        <v>87.2</v>
      </c>
      <c r="D71" s="9">
        <f t="shared" si="2"/>
        <v>-3.1775317753177656E-3</v>
      </c>
      <c r="E71" s="9">
        <f t="shared" si="3"/>
        <v>-8.5275724843660861E-3</v>
      </c>
    </row>
    <row r="72" spans="1:5" x14ac:dyDescent="0.25">
      <c r="A72" s="6">
        <v>45575</v>
      </c>
      <c r="B72" s="7">
        <v>480.25</v>
      </c>
      <c r="C72" s="7">
        <v>85.32</v>
      </c>
      <c r="D72" s="9">
        <f t="shared" si="2"/>
        <v>-1.2339331619537264E-2</v>
      </c>
      <c r="E72" s="9">
        <f t="shared" si="3"/>
        <v>-2.1559633027523062E-2</v>
      </c>
    </row>
    <row r="73" spans="1:5" x14ac:dyDescent="0.25">
      <c r="A73" s="6">
        <v>45576</v>
      </c>
      <c r="B73" s="7">
        <v>482.1</v>
      </c>
      <c r="C73" s="7">
        <v>86.01</v>
      </c>
      <c r="D73" s="9">
        <f t="shared" si="2"/>
        <v>3.8521603331598264E-3</v>
      </c>
      <c r="E73" s="9">
        <f t="shared" si="3"/>
        <v>8.0872011251760245E-3</v>
      </c>
    </row>
    <row r="74" spans="1:5" x14ac:dyDescent="0.25">
      <c r="A74" s="6">
        <v>45577</v>
      </c>
      <c r="B74" s="7">
        <v>478.75</v>
      </c>
      <c r="C74" s="7">
        <v>84.95</v>
      </c>
      <c r="D74" s="9">
        <f t="shared" si="2"/>
        <v>-6.9487658162207255E-3</v>
      </c>
      <c r="E74" s="9">
        <f t="shared" si="3"/>
        <v>-1.2324148354842523E-2</v>
      </c>
    </row>
    <row r="75" spans="1:5" x14ac:dyDescent="0.25">
      <c r="A75" s="6">
        <v>45578</v>
      </c>
      <c r="B75" s="7">
        <v>481.5</v>
      </c>
      <c r="C75" s="7">
        <v>85.6</v>
      </c>
      <c r="D75" s="9">
        <f t="shared" si="2"/>
        <v>5.7441253263708081E-3</v>
      </c>
      <c r="E75" s="9">
        <f t="shared" si="3"/>
        <v>7.6515597410240499E-3</v>
      </c>
    </row>
    <row r="76" spans="1:5" x14ac:dyDescent="0.25">
      <c r="A76" s="6">
        <v>45579</v>
      </c>
      <c r="B76" s="7">
        <v>484.2</v>
      </c>
      <c r="C76" s="7">
        <v>86.45</v>
      </c>
      <c r="D76" s="9">
        <f t="shared" si="2"/>
        <v>5.6074766355140859E-3</v>
      </c>
      <c r="E76" s="9">
        <f t="shared" si="3"/>
        <v>9.9299065420561661E-3</v>
      </c>
    </row>
    <row r="77" spans="1:5" x14ac:dyDescent="0.25">
      <c r="A77" s="6">
        <v>45580</v>
      </c>
      <c r="B77" s="7">
        <v>485.9</v>
      </c>
      <c r="C77" s="7">
        <v>87.1</v>
      </c>
      <c r="D77" s="9">
        <f t="shared" si="2"/>
        <v>3.5109458901281254E-3</v>
      </c>
      <c r="E77" s="9">
        <f t="shared" si="3"/>
        <v>7.5187969924810361E-3</v>
      </c>
    </row>
    <row r="78" spans="1:5" x14ac:dyDescent="0.25">
      <c r="A78" s="6">
        <v>45581</v>
      </c>
      <c r="B78" s="7">
        <v>488</v>
      </c>
      <c r="C78" s="7">
        <v>87.75</v>
      </c>
      <c r="D78" s="9">
        <f t="shared" si="2"/>
        <v>4.3218769294093295E-3</v>
      </c>
      <c r="E78" s="9">
        <f t="shared" si="3"/>
        <v>7.4626865671643117E-3</v>
      </c>
    </row>
    <row r="79" spans="1:5" x14ac:dyDescent="0.25">
      <c r="A79" s="6">
        <v>45582</v>
      </c>
      <c r="B79" s="7">
        <v>490.15</v>
      </c>
      <c r="C79" s="7">
        <v>88.4</v>
      </c>
      <c r="D79" s="9">
        <f t="shared" si="2"/>
        <v>4.4057377049180335E-3</v>
      </c>
      <c r="E79" s="9">
        <f t="shared" si="3"/>
        <v>7.4074074074075291E-3</v>
      </c>
    </row>
    <row r="80" spans="1:5" x14ac:dyDescent="0.25">
      <c r="A80" s="6">
        <v>45583</v>
      </c>
      <c r="B80" s="7">
        <v>487.8</v>
      </c>
      <c r="C80" s="7">
        <v>87.95</v>
      </c>
      <c r="D80" s="9">
        <f t="shared" si="2"/>
        <v>-4.7944506783637042E-3</v>
      </c>
      <c r="E80" s="9">
        <f t="shared" si="3"/>
        <v>-5.090497737556543E-3</v>
      </c>
    </row>
    <row r="81" spans="1:5" x14ac:dyDescent="0.25">
      <c r="A81" s="6">
        <v>45584</v>
      </c>
      <c r="B81" s="7">
        <v>486.25</v>
      </c>
      <c r="C81" s="7">
        <v>87.2</v>
      </c>
      <c r="D81" s="9">
        <f t="shared" si="2"/>
        <v>-3.1775317753177656E-3</v>
      </c>
      <c r="E81" s="9">
        <f t="shared" si="3"/>
        <v>-8.5275724843660861E-3</v>
      </c>
    </row>
    <row r="82" spans="1:5" x14ac:dyDescent="0.25">
      <c r="A82" s="6">
        <v>45585</v>
      </c>
      <c r="B82" s="7">
        <v>480.25</v>
      </c>
      <c r="C82" s="7">
        <v>85.32</v>
      </c>
      <c r="D82" s="9">
        <f t="shared" si="2"/>
        <v>-1.2339331619537264E-2</v>
      </c>
      <c r="E82" s="9">
        <f t="shared" si="3"/>
        <v>-2.1559633027523062E-2</v>
      </c>
    </row>
    <row r="83" spans="1:5" x14ac:dyDescent="0.25">
      <c r="A83" s="6">
        <v>45586</v>
      </c>
      <c r="B83" s="7">
        <v>482.1</v>
      </c>
      <c r="C83" s="7">
        <v>86.01</v>
      </c>
      <c r="D83" s="9">
        <f t="shared" si="2"/>
        <v>3.8521603331598264E-3</v>
      </c>
      <c r="E83" s="9">
        <f t="shared" si="3"/>
        <v>8.0872011251760245E-3</v>
      </c>
    </row>
    <row r="84" spans="1:5" x14ac:dyDescent="0.25">
      <c r="A84" s="6">
        <v>45587</v>
      </c>
      <c r="B84" s="7">
        <v>478.75</v>
      </c>
      <c r="C84" s="7">
        <v>84.95</v>
      </c>
      <c r="D84" s="9">
        <f t="shared" si="2"/>
        <v>-6.9487658162207255E-3</v>
      </c>
      <c r="E84" s="9">
        <f t="shared" si="3"/>
        <v>-1.2324148354842523E-2</v>
      </c>
    </row>
    <row r="85" spans="1:5" x14ac:dyDescent="0.25">
      <c r="A85" s="6">
        <v>45588</v>
      </c>
      <c r="B85" s="7">
        <v>481.5</v>
      </c>
      <c r="C85" s="7">
        <v>85.6</v>
      </c>
      <c r="D85" s="9">
        <f t="shared" si="2"/>
        <v>5.7441253263708081E-3</v>
      </c>
      <c r="E85" s="9">
        <f t="shared" si="3"/>
        <v>7.6515597410240499E-3</v>
      </c>
    </row>
    <row r="86" spans="1:5" x14ac:dyDescent="0.25">
      <c r="A86" s="6">
        <v>45589</v>
      </c>
      <c r="B86" s="7">
        <v>484.2</v>
      </c>
      <c r="C86" s="7">
        <v>86.45</v>
      </c>
      <c r="D86" s="9">
        <f t="shared" si="2"/>
        <v>5.6074766355140859E-3</v>
      </c>
      <c r="E86" s="9">
        <f t="shared" si="3"/>
        <v>9.9299065420561661E-3</v>
      </c>
    </row>
    <row r="87" spans="1:5" x14ac:dyDescent="0.25">
      <c r="A87" s="6">
        <v>45590</v>
      </c>
      <c r="B87" s="7">
        <v>485.9</v>
      </c>
      <c r="C87" s="7">
        <v>87.1</v>
      </c>
      <c r="D87" s="9">
        <f t="shared" si="2"/>
        <v>3.5109458901281254E-3</v>
      </c>
      <c r="E87" s="9">
        <f t="shared" si="3"/>
        <v>7.5187969924810361E-3</v>
      </c>
    </row>
    <row r="88" spans="1:5" x14ac:dyDescent="0.25">
      <c r="A88" s="6">
        <v>45591</v>
      </c>
      <c r="B88" s="7">
        <v>488</v>
      </c>
      <c r="C88" s="7">
        <v>87.75</v>
      </c>
      <c r="D88" s="9">
        <f t="shared" si="2"/>
        <v>4.3218769294093295E-3</v>
      </c>
      <c r="E88" s="9">
        <f t="shared" si="3"/>
        <v>7.4626865671643117E-3</v>
      </c>
    </row>
    <row r="89" spans="1:5" x14ac:dyDescent="0.25">
      <c r="A89" s="6">
        <v>45592</v>
      </c>
      <c r="B89" s="7">
        <v>490.15</v>
      </c>
      <c r="C89" s="7">
        <v>88.4</v>
      </c>
      <c r="D89" s="9">
        <f t="shared" si="2"/>
        <v>4.4057377049180335E-3</v>
      </c>
      <c r="E89" s="9">
        <f t="shared" si="3"/>
        <v>7.4074074074075291E-3</v>
      </c>
    </row>
    <row r="90" spans="1:5" x14ac:dyDescent="0.25">
      <c r="A90" s="6">
        <v>45593</v>
      </c>
      <c r="B90" s="7">
        <v>487.8</v>
      </c>
      <c r="C90" s="7">
        <v>87.95</v>
      </c>
      <c r="D90" s="9">
        <f t="shared" si="2"/>
        <v>-4.7944506783637042E-3</v>
      </c>
      <c r="E90" s="9">
        <f t="shared" si="3"/>
        <v>-5.090497737556543E-3</v>
      </c>
    </row>
    <row r="91" spans="1:5" x14ac:dyDescent="0.25">
      <c r="A91" s="6">
        <v>45594</v>
      </c>
      <c r="B91" s="7">
        <v>486.25</v>
      </c>
      <c r="C91" s="7">
        <v>87.2</v>
      </c>
      <c r="D91" s="9">
        <f t="shared" si="2"/>
        <v>-3.1775317753177656E-3</v>
      </c>
      <c r="E91" s="9">
        <f t="shared" si="3"/>
        <v>-8.5275724843660861E-3</v>
      </c>
    </row>
    <row r="92" spans="1:5" x14ac:dyDescent="0.25">
      <c r="A92" s="6">
        <v>45595</v>
      </c>
      <c r="B92" s="7">
        <v>480.25</v>
      </c>
      <c r="C92" s="7">
        <v>85.32</v>
      </c>
      <c r="D92" s="9">
        <f t="shared" si="2"/>
        <v>-1.2339331619537264E-2</v>
      </c>
      <c r="E92" s="9">
        <f t="shared" si="3"/>
        <v>-2.1559633027523062E-2</v>
      </c>
    </row>
    <row r="93" spans="1:5" x14ac:dyDescent="0.25">
      <c r="A93" s="6">
        <v>45596</v>
      </c>
      <c r="B93" s="7">
        <v>482.1</v>
      </c>
      <c r="C93" s="7">
        <v>86.01</v>
      </c>
      <c r="D93" s="9">
        <f t="shared" si="2"/>
        <v>3.8521603331598264E-3</v>
      </c>
      <c r="E93" s="9">
        <f t="shared" si="3"/>
        <v>8.0872011251760245E-3</v>
      </c>
    </row>
    <row r="94" spans="1:5" x14ac:dyDescent="0.25">
      <c r="A94" s="6">
        <v>45597</v>
      </c>
      <c r="B94" s="7">
        <v>478.75</v>
      </c>
      <c r="C94" s="7">
        <v>84.95</v>
      </c>
      <c r="D94" s="9">
        <f t="shared" si="2"/>
        <v>-6.9487658162207255E-3</v>
      </c>
      <c r="E94" s="9">
        <f t="shared" si="3"/>
        <v>-1.2324148354842523E-2</v>
      </c>
    </row>
    <row r="95" spans="1:5" x14ac:dyDescent="0.25">
      <c r="A95" s="6">
        <v>45598</v>
      </c>
      <c r="B95" s="7">
        <v>481.5</v>
      </c>
      <c r="C95" s="7">
        <v>85.6</v>
      </c>
      <c r="D95" s="9">
        <f t="shared" si="2"/>
        <v>5.7441253263708081E-3</v>
      </c>
      <c r="E95" s="9">
        <f t="shared" si="3"/>
        <v>7.6515597410240499E-3</v>
      </c>
    </row>
    <row r="96" spans="1:5" x14ac:dyDescent="0.25">
      <c r="A96" s="6">
        <v>45599</v>
      </c>
      <c r="B96" s="7">
        <v>484.2</v>
      </c>
      <c r="C96" s="7">
        <v>86.45</v>
      </c>
      <c r="D96" s="9">
        <f t="shared" si="2"/>
        <v>5.6074766355140859E-3</v>
      </c>
      <c r="E96" s="9">
        <f t="shared" si="3"/>
        <v>9.9299065420561661E-3</v>
      </c>
    </row>
    <row r="97" spans="1:5" x14ac:dyDescent="0.25">
      <c r="A97" s="6">
        <v>45600</v>
      </c>
      <c r="B97" s="7">
        <v>485.9</v>
      </c>
      <c r="C97" s="7">
        <v>87.1</v>
      </c>
      <c r="D97" s="9">
        <f t="shared" si="2"/>
        <v>3.5109458901281254E-3</v>
      </c>
      <c r="E97" s="9">
        <f t="shared" si="3"/>
        <v>7.5187969924810361E-3</v>
      </c>
    </row>
    <row r="98" spans="1:5" x14ac:dyDescent="0.25">
      <c r="A98" s="6">
        <v>45601</v>
      </c>
      <c r="B98" s="7">
        <v>488</v>
      </c>
      <c r="C98" s="7">
        <v>87.75</v>
      </c>
      <c r="D98" s="9">
        <f t="shared" si="2"/>
        <v>4.3218769294093295E-3</v>
      </c>
      <c r="E98" s="9">
        <f t="shared" si="3"/>
        <v>7.4626865671643117E-3</v>
      </c>
    </row>
    <row r="99" spans="1:5" x14ac:dyDescent="0.25">
      <c r="A99" s="6">
        <v>45602</v>
      </c>
      <c r="B99" s="7">
        <v>490.15</v>
      </c>
      <c r="C99" s="7">
        <v>88.4</v>
      </c>
      <c r="D99" s="9">
        <f t="shared" si="2"/>
        <v>4.4057377049180335E-3</v>
      </c>
      <c r="E99" s="9">
        <f t="shared" si="3"/>
        <v>7.4074074074075291E-3</v>
      </c>
    </row>
    <row r="100" spans="1:5" x14ac:dyDescent="0.25">
      <c r="A100" s="6">
        <v>45603</v>
      </c>
      <c r="B100" s="7">
        <v>487.8</v>
      </c>
      <c r="C100" s="7">
        <v>87.95</v>
      </c>
      <c r="D100" s="9">
        <f t="shared" si="2"/>
        <v>-4.7944506783637042E-3</v>
      </c>
      <c r="E100" s="9">
        <f t="shared" si="3"/>
        <v>-5.090497737556543E-3</v>
      </c>
    </row>
    <row r="101" spans="1:5" x14ac:dyDescent="0.25">
      <c r="A101" s="6">
        <v>45604</v>
      </c>
      <c r="B101" s="7">
        <v>486.25</v>
      </c>
      <c r="C101" s="7">
        <v>87.2</v>
      </c>
      <c r="D101" s="9">
        <f t="shared" si="2"/>
        <v>-3.1775317753177656E-3</v>
      </c>
      <c r="E101" s="9">
        <f t="shared" si="3"/>
        <v>-8.5275724843660861E-3</v>
      </c>
    </row>
    <row r="102" spans="1:5" x14ac:dyDescent="0.25">
      <c r="A102" s="6">
        <v>45605</v>
      </c>
      <c r="B102" s="7">
        <v>480.25</v>
      </c>
      <c r="C102" s="7">
        <v>85.32</v>
      </c>
      <c r="D102" s="9">
        <f t="shared" si="2"/>
        <v>-1.2339331619537264E-2</v>
      </c>
      <c r="E102" s="9">
        <f t="shared" si="3"/>
        <v>-2.1559633027523062E-2</v>
      </c>
    </row>
    <row r="103" spans="1:5" x14ac:dyDescent="0.25">
      <c r="A103" s="6">
        <v>45606</v>
      </c>
      <c r="B103" s="7">
        <v>482.1</v>
      </c>
      <c r="C103" s="7">
        <v>86.01</v>
      </c>
      <c r="D103" s="9">
        <f t="shared" si="2"/>
        <v>3.8521603331598264E-3</v>
      </c>
      <c r="E103" s="9">
        <f t="shared" si="3"/>
        <v>8.0872011251760245E-3</v>
      </c>
    </row>
    <row r="104" spans="1:5" x14ac:dyDescent="0.25">
      <c r="A104" s="6">
        <v>45607</v>
      </c>
      <c r="B104" s="7">
        <v>478.75</v>
      </c>
      <c r="C104" s="7">
        <v>84.95</v>
      </c>
      <c r="D104" s="9">
        <f t="shared" si="2"/>
        <v>-6.9487658162207255E-3</v>
      </c>
      <c r="E104" s="9">
        <f t="shared" si="3"/>
        <v>-1.2324148354842523E-2</v>
      </c>
    </row>
    <row r="105" spans="1:5" x14ac:dyDescent="0.25">
      <c r="A105" s="6">
        <v>45608</v>
      </c>
      <c r="B105" s="7">
        <v>481.5</v>
      </c>
      <c r="C105" s="7">
        <v>85.6</v>
      </c>
      <c r="D105" s="9">
        <f t="shared" si="2"/>
        <v>5.7441253263708081E-3</v>
      </c>
      <c r="E105" s="9">
        <f t="shared" si="3"/>
        <v>7.6515597410240499E-3</v>
      </c>
    </row>
    <row r="106" spans="1:5" x14ac:dyDescent="0.25">
      <c r="A106" s="6">
        <v>45609</v>
      </c>
      <c r="B106" s="7">
        <v>484.2</v>
      </c>
      <c r="C106" s="7">
        <v>86.45</v>
      </c>
      <c r="D106" s="9">
        <f t="shared" si="2"/>
        <v>5.6074766355140859E-3</v>
      </c>
      <c r="E106" s="9">
        <f t="shared" si="3"/>
        <v>9.9299065420561661E-3</v>
      </c>
    </row>
    <row r="107" spans="1:5" x14ac:dyDescent="0.25">
      <c r="A107" s="6">
        <v>45610</v>
      </c>
      <c r="B107" s="7">
        <v>485.9</v>
      </c>
      <c r="C107" s="7">
        <v>87.1</v>
      </c>
      <c r="D107" s="9">
        <f t="shared" si="2"/>
        <v>3.5109458901281254E-3</v>
      </c>
      <c r="E107" s="9">
        <f t="shared" si="3"/>
        <v>7.5187969924810361E-3</v>
      </c>
    </row>
    <row r="108" spans="1:5" x14ac:dyDescent="0.25">
      <c r="A108" s="6">
        <v>45611</v>
      </c>
      <c r="B108" s="7">
        <v>488</v>
      </c>
      <c r="C108" s="7">
        <v>87.75</v>
      </c>
      <c r="D108" s="9">
        <f t="shared" si="2"/>
        <v>4.3218769294093295E-3</v>
      </c>
      <c r="E108" s="9">
        <f t="shared" si="3"/>
        <v>7.4626865671643117E-3</v>
      </c>
    </row>
    <row r="109" spans="1:5" x14ac:dyDescent="0.25">
      <c r="A109" s="6">
        <v>45612</v>
      </c>
      <c r="B109" s="7">
        <v>490.15</v>
      </c>
      <c r="C109" s="7">
        <v>88.4</v>
      </c>
      <c r="D109" s="9">
        <f t="shared" si="2"/>
        <v>4.4057377049180335E-3</v>
      </c>
      <c r="E109" s="9">
        <f t="shared" si="3"/>
        <v>7.4074074074075291E-3</v>
      </c>
    </row>
    <row r="110" spans="1:5" x14ac:dyDescent="0.25">
      <c r="A110" s="6">
        <v>45613</v>
      </c>
      <c r="B110" s="7">
        <v>487.8</v>
      </c>
      <c r="C110" s="7">
        <v>87.95</v>
      </c>
      <c r="D110" s="9">
        <f t="shared" si="2"/>
        <v>-4.7944506783637042E-3</v>
      </c>
      <c r="E110" s="9">
        <f t="shared" si="3"/>
        <v>-5.090497737556543E-3</v>
      </c>
    </row>
    <row r="111" spans="1:5" x14ac:dyDescent="0.25">
      <c r="A111" s="6">
        <v>45614</v>
      </c>
      <c r="B111" s="7">
        <v>486.25</v>
      </c>
      <c r="C111" s="7">
        <v>87.2</v>
      </c>
      <c r="D111" s="9">
        <f t="shared" si="2"/>
        <v>-3.1775317753177656E-3</v>
      </c>
      <c r="E111" s="9">
        <f t="shared" si="3"/>
        <v>-8.5275724843660861E-3</v>
      </c>
    </row>
    <row r="112" spans="1:5" x14ac:dyDescent="0.25">
      <c r="A112" s="6">
        <v>45615</v>
      </c>
      <c r="B112" s="7">
        <v>480.25</v>
      </c>
      <c r="C112" s="7">
        <v>85.32</v>
      </c>
      <c r="D112" s="9">
        <f t="shared" si="2"/>
        <v>-1.2339331619537264E-2</v>
      </c>
      <c r="E112" s="9">
        <f t="shared" si="3"/>
        <v>-2.1559633027523062E-2</v>
      </c>
    </row>
    <row r="113" spans="1:5" x14ac:dyDescent="0.25">
      <c r="A113" s="6">
        <v>45616</v>
      </c>
      <c r="B113" s="7">
        <v>482.1</v>
      </c>
      <c r="C113" s="7">
        <v>86.01</v>
      </c>
      <c r="D113" s="9">
        <f t="shared" si="2"/>
        <v>3.8521603331598264E-3</v>
      </c>
      <c r="E113" s="9">
        <f t="shared" si="3"/>
        <v>8.0872011251760245E-3</v>
      </c>
    </row>
    <row r="114" spans="1:5" x14ac:dyDescent="0.25">
      <c r="A114" s="6">
        <v>45617</v>
      </c>
      <c r="B114" s="7">
        <v>478.75</v>
      </c>
      <c r="C114" s="7">
        <v>84.95</v>
      </c>
      <c r="D114" s="9">
        <f t="shared" si="2"/>
        <v>-6.9487658162207255E-3</v>
      </c>
      <c r="E114" s="9">
        <f t="shared" si="3"/>
        <v>-1.2324148354842523E-2</v>
      </c>
    </row>
    <row r="115" spans="1:5" x14ac:dyDescent="0.25">
      <c r="A115" s="6">
        <v>45618</v>
      </c>
      <c r="B115" s="7">
        <v>481.5</v>
      </c>
      <c r="C115" s="7">
        <v>85.6</v>
      </c>
      <c r="D115" s="9">
        <f t="shared" si="2"/>
        <v>5.7441253263708081E-3</v>
      </c>
      <c r="E115" s="9">
        <f t="shared" si="3"/>
        <v>7.6515597410240499E-3</v>
      </c>
    </row>
    <row r="116" spans="1:5" x14ac:dyDescent="0.25">
      <c r="A116" s="6">
        <v>45619</v>
      </c>
      <c r="B116" s="7">
        <v>484.2</v>
      </c>
      <c r="C116" s="7">
        <v>86.45</v>
      </c>
      <c r="D116" s="9">
        <f t="shared" si="2"/>
        <v>5.6074766355140859E-3</v>
      </c>
      <c r="E116" s="9">
        <f t="shared" si="3"/>
        <v>9.9299065420561661E-3</v>
      </c>
    </row>
    <row r="117" spans="1:5" x14ac:dyDescent="0.25">
      <c r="A117" s="6">
        <v>45620</v>
      </c>
      <c r="B117" s="7">
        <v>485.9</v>
      </c>
      <c r="C117" s="7">
        <v>87.1</v>
      </c>
      <c r="D117" s="9">
        <f t="shared" si="2"/>
        <v>3.5109458901281254E-3</v>
      </c>
      <c r="E117" s="9">
        <f t="shared" si="3"/>
        <v>7.5187969924810361E-3</v>
      </c>
    </row>
    <row r="118" spans="1:5" x14ac:dyDescent="0.25">
      <c r="A118" s="6">
        <v>45621</v>
      </c>
      <c r="B118" s="7">
        <v>488</v>
      </c>
      <c r="C118" s="7">
        <v>87.75</v>
      </c>
      <c r="D118" s="9">
        <f t="shared" si="2"/>
        <v>4.3218769294093295E-3</v>
      </c>
      <c r="E118" s="9">
        <f t="shared" si="3"/>
        <v>7.4626865671643117E-3</v>
      </c>
    </row>
    <row r="119" spans="1:5" x14ac:dyDescent="0.25">
      <c r="A119" s="6">
        <v>45622</v>
      </c>
      <c r="B119" s="7">
        <v>490.15</v>
      </c>
      <c r="C119" s="7">
        <v>88.4</v>
      </c>
      <c r="D119" s="9">
        <f t="shared" si="2"/>
        <v>4.4057377049180335E-3</v>
      </c>
      <c r="E119" s="9">
        <f t="shared" si="3"/>
        <v>7.4074074074075291E-3</v>
      </c>
    </row>
    <row r="120" spans="1:5" x14ac:dyDescent="0.25">
      <c r="A120" s="6">
        <v>45623</v>
      </c>
      <c r="B120" s="7">
        <v>487.8</v>
      </c>
      <c r="C120" s="7">
        <v>87.95</v>
      </c>
      <c r="D120" s="9">
        <f t="shared" si="2"/>
        <v>-4.7944506783637042E-3</v>
      </c>
      <c r="E120" s="9">
        <f t="shared" si="3"/>
        <v>-5.090497737556543E-3</v>
      </c>
    </row>
    <row r="121" spans="1:5" x14ac:dyDescent="0.25">
      <c r="A121" s="6">
        <v>45624</v>
      </c>
      <c r="B121" s="7">
        <v>486.25</v>
      </c>
      <c r="C121" s="7">
        <v>87.2</v>
      </c>
      <c r="D121" s="9">
        <f t="shared" si="2"/>
        <v>-3.1775317753177656E-3</v>
      </c>
      <c r="E121" s="9">
        <f t="shared" si="3"/>
        <v>-8.5275724843660861E-3</v>
      </c>
    </row>
    <row r="122" spans="1:5" x14ac:dyDescent="0.25">
      <c r="A122" s="6">
        <v>45625</v>
      </c>
      <c r="B122" s="7">
        <v>480.25</v>
      </c>
      <c r="C122" s="7">
        <v>85.32</v>
      </c>
      <c r="D122" s="9">
        <f t="shared" si="2"/>
        <v>-1.2339331619537264E-2</v>
      </c>
      <c r="E122" s="9">
        <f t="shared" si="3"/>
        <v>-2.1559633027523062E-2</v>
      </c>
    </row>
    <row r="123" spans="1:5" x14ac:dyDescent="0.25">
      <c r="A123" s="6">
        <v>45626</v>
      </c>
      <c r="B123" s="7">
        <v>482.1</v>
      </c>
      <c r="C123" s="7">
        <v>86.01</v>
      </c>
      <c r="D123" s="9">
        <f t="shared" si="2"/>
        <v>3.8521603331598264E-3</v>
      </c>
      <c r="E123" s="9">
        <f t="shared" si="3"/>
        <v>8.0872011251760245E-3</v>
      </c>
    </row>
    <row r="124" spans="1:5" x14ac:dyDescent="0.25">
      <c r="A124" s="6">
        <v>45627</v>
      </c>
      <c r="B124" s="7">
        <v>478.75</v>
      </c>
      <c r="C124" s="7">
        <v>84.95</v>
      </c>
      <c r="D124" s="9">
        <f t="shared" si="2"/>
        <v>-6.9487658162207255E-3</v>
      </c>
      <c r="E124" s="9">
        <f t="shared" si="3"/>
        <v>-1.2324148354842523E-2</v>
      </c>
    </row>
    <row r="125" spans="1:5" x14ac:dyDescent="0.25">
      <c r="A125" s="6">
        <v>45628</v>
      </c>
      <c r="B125" s="7">
        <v>481.5</v>
      </c>
      <c r="C125" s="7">
        <v>85.6</v>
      </c>
      <c r="D125" s="9">
        <f t="shared" si="2"/>
        <v>5.7441253263708081E-3</v>
      </c>
      <c r="E125" s="9">
        <f t="shared" si="3"/>
        <v>7.6515597410240499E-3</v>
      </c>
    </row>
    <row r="126" spans="1:5" x14ac:dyDescent="0.25">
      <c r="A126" s="6">
        <v>45629</v>
      </c>
      <c r="B126" s="7">
        <v>484.2</v>
      </c>
      <c r="C126" s="7">
        <v>86.45</v>
      </c>
      <c r="D126" s="9">
        <f t="shared" si="2"/>
        <v>5.6074766355140859E-3</v>
      </c>
      <c r="E126" s="9">
        <f t="shared" si="3"/>
        <v>9.9299065420561661E-3</v>
      </c>
    </row>
    <row r="127" spans="1:5" x14ac:dyDescent="0.25">
      <c r="A127" s="6">
        <v>45630</v>
      </c>
      <c r="B127" s="7">
        <v>485.9</v>
      </c>
      <c r="C127" s="7">
        <v>87.1</v>
      </c>
      <c r="D127" s="9">
        <f t="shared" si="2"/>
        <v>3.5109458901281254E-3</v>
      </c>
      <c r="E127" s="9">
        <f t="shared" si="3"/>
        <v>7.5187969924810361E-3</v>
      </c>
    </row>
    <row r="128" spans="1:5" x14ac:dyDescent="0.25">
      <c r="A128" s="6">
        <v>45631</v>
      </c>
      <c r="B128" s="7">
        <v>488</v>
      </c>
      <c r="C128" s="7">
        <v>87.75</v>
      </c>
      <c r="D128" s="9">
        <f t="shared" si="2"/>
        <v>4.3218769294093295E-3</v>
      </c>
      <c r="E128" s="9">
        <f t="shared" si="3"/>
        <v>7.4626865671643117E-3</v>
      </c>
    </row>
    <row r="129" spans="1:5" x14ac:dyDescent="0.25">
      <c r="A129" s="6">
        <v>45632</v>
      </c>
      <c r="B129" s="7">
        <v>490.15</v>
      </c>
      <c r="C129" s="7">
        <v>88.4</v>
      </c>
      <c r="D129" s="9">
        <f t="shared" si="2"/>
        <v>4.4057377049180335E-3</v>
      </c>
      <c r="E129" s="9">
        <f t="shared" si="3"/>
        <v>7.4074074074075291E-3</v>
      </c>
    </row>
    <row r="130" spans="1:5" x14ac:dyDescent="0.25">
      <c r="A130" s="6">
        <v>45633</v>
      </c>
      <c r="B130" s="7">
        <v>487.8</v>
      </c>
      <c r="C130" s="7">
        <v>87.95</v>
      </c>
      <c r="D130" s="9">
        <f t="shared" si="2"/>
        <v>-4.7944506783637042E-3</v>
      </c>
      <c r="E130" s="9">
        <f t="shared" si="3"/>
        <v>-5.090497737556543E-3</v>
      </c>
    </row>
    <row r="131" spans="1:5" x14ac:dyDescent="0.25">
      <c r="A131" s="6">
        <v>45634</v>
      </c>
      <c r="B131" s="7">
        <v>486.25</v>
      </c>
      <c r="C131" s="7">
        <v>87.2</v>
      </c>
      <c r="D131" s="9">
        <f t="shared" si="2"/>
        <v>-3.1775317753177656E-3</v>
      </c>
      <c r="E131" s="9">
        <f t="shared" si="3"/>
        <v>-8.5275724843660861E-3</v>
      </c>
    </row>
    <row r="132" spans="1:5" x14ac:dyDescent="0.25">
      <c r="A132" s="6">
        <v>45635</v>
      </c>
      <c r="B132" s="7">
        <v>480.25</v>
      </c>
      <c r="C132" s="7">
        <v>85.32</v>
      </c>
      <c r="D132" s="9">
        <f t="shared" ref="D132:D195" si="4">B132/B131-1</f>
        <v>-1.2339331619537264E-2</v>
      </c>
      <c r="E132" s="9">
        <f t="shared" ref="E132:E195" si="5">C132/C131-1</f>
        <v>-2.1559633027523062E-2</v>
      </c>
    </row>
    <row r="133" spans="1:5" x14ac:dyDescent="0.25">
      <c r="A133" s="6">
        <v>45636</v>
      </c>
      <c r="B133" s="7">
        <v>482.1</v>
      </c>
      <c r="C133" s="7">
        <v>86.01</v>
      </c>
      <c r="D133" s="9">
        <f t="shared" si="4"/>
        <v>3.8521603331598264E-3</v>
      </c>
      <c r="E133" s="9">
        <f t="shared" si="5"/>
        <v>8.0872011251760245E-3</v>
      </c>
    </row>
    <row r="134" spans="1:5" x14ac:dyDescent="0.25">
      <c r="A134" s="6">
        <v>45637</v>
      </c>
      <c r="B134" s="7">
        <v>478.75</v>
      </c>
      <c r="C134" s="7">
        <v>84.95</v>
      </c>
      <c r="D134" s="9">
        <f t="shared" si="4"/>
        <v>-6.9487658162207255E-3</v>
      </c>
      <c r="E134" s="9">
        <f t="shared" si="5"/>
        <v>-1.2324148354842523E-2</v>
      </c>
    </row>
    <row r="135" spans="1:5" x14ac:dyDescent="0.25">
      <c r="A135" s="6">
        <v>45638</v>
      </c>
      <c r="B135" s="7">
        <v>481.5</v>
      </c>
      <c r="C135" s="7">
        <v>85.6</v>
      </c>
      <c r="D135" s="9">
        <f t="shared" si="4"/>
        <v>5.7441253263708081E-3</v>
      </c>
      <c r="E135" s="9">
        <f t="shared" si="5"/>
        <v>7.6515597410240499E-3</v>
      </c>
    </row>
    <row r="136" spans="1:5" x14ac:dyDescent="0.25">
      <c r="A136" s="6">
        <v>45639</v>
      </c>
      <c r="B136" s="7">
        <v>484.2</v>
      </c>
      <c r="C136" s="7">
        <v>86.45</v>
      </c>
      <c r="D136" s="9">
        <f t="shared" si="4"/>
        <v>5.6074766355140859E-3</v>
      </c>
      <c r="E136" s="9">
        <f t="shared" si="5"/>
        <v>9.9299065420561661E-3</v>
      </c>
    </row>
    <row r="137" spans="1:5" x14ac:dyDescent="0.25">
      <c r="A137" s="6">
        <v>45640</v>
      </c>
      <c r="B137" s="7">
        <v>485.9</v>
      </c>
      <c r="C137" s="7">
        <v>87.1</v>
      </c>
      <c r="D137" s="9">
        <f t="shared" si="4"/>
        <v>3.5109458901281254E-3</v>
      </c>
      <c r="E137" s="9">
        <f t="shared" si="5"/>
        <v>7.5187969924810361E-3</v>
      </c>
    </row>
    <row r="138" spans="1:5" x14ac:dyDescent="0.25">
      <c r="A138" s="6">
        <v>45641</v>
      </c>
      <c r="B138" s="7">
        <v>488</v>
      </c>
      <c r="C138" s="7">
        <v>87.75</v>
      </c>
      <c r="D138" s="9">
        <f t="shared" si="4"/>
        <v>4.3218769294093295E-3</v>
      </c>
      <c r="E138" s="9">
        <f t="shared" si="5"/>
        <v>7.4626865671643117E-3</v>
      </c>
    </row>
    <row r="139" spans="1:5" x14ac:dyDescent="0.25">
      <c r="A139" s="6">
        <v>45642</v>
      </c>
      <c r="B139" s="7">
        <v>490.15</v>
      </c>
      <c r="C139" s="7">
        <v>88.4</v>
      </c>
      <c r="D139" s="9">
        <f t="shared" si="4"/>
        <v>4.4057377049180335E-3</v>
      </c>
      <c r="E139" s="9">
        <f t="shared" si="5"/>
        <v>7.4074074074075291E-3</v>
      </c>
    </row>
    <row r="140" spans="1:5" x14ac:dyDescent="0.25">
      <c r="A140" s="6">
        <v>45643</v>
      </c>
      <c r="B140" s="7">
        <v>487.8</v>
      </c>
      <c r="C140" s="7">
        <v>87.95</v>
      </c>
      <c r="D140" s="9">
        <f t="shared" si="4"/>
        <v>-4.7944506783637042E-3</v>
      </c>
      <c r="E140" s="9">
        <f t="shared" si="5"/>
        <v>-5.090497737556543E-3</v>
      </c>
    </row>
    <row r="141" spans="1:5" x14ac:dyDescent="0.25">
      <c r="A141" s="6">
        <v>45644</v>
      </c>
      <c r="B141" s="7">
        <v>486.25</v>
      </c>
      <c r="C141" s="7">
        <v>87.2</v>
      </c>
      <c r="D141" s="9">
        <f t="shared" si="4"/>
        <v>-3.1775317753177656E-3</v>
      </c>
      <c r="E141" s="9">
        <f t="shared" si="5"/>
        <v>-8.5275724843660861E-3</v>
      </c>
    </row>
    <row r="142" spans="1:5" x14ac:dyDescent="0.25">
      <c r="A142" s="6">
        <v>45645</v>
      </c>
      <c r="B142" s="7">
        <v>480.25</v>
      </c>
      <c r="C142" s="7">
        <v>85.32</v>
      </c>
      <c r="D142" s="9">
        <f t="shared" si="4"/>
        <v>-1.2339331619537264E-2</v>
      </c>
      <c r="E142" s="9">
        <f t="shared" si="5"/>
        <v>-2.1559633027523062E-2</v>
      </c>
    </row>
    <row r="143" spans="1:5" x14ac:dyDescent="0.25">
      <c r="A143" s="6">
        <v>45646</v>
      </c>
      <c r="B143" s="7">
        <v>482.1</v>
      </c>
      <c r="C143" s="7">
        <v>86.01</v>
      </c>
      <c r="D143" s="9">
        <f t="shared" si="4"/>
        <v>3.8521603331598264E-3</v>
      </c>
      <c r="E143" s="9">
        <f t="shared" si="5"/>
        <v>8.0872011251760245E-3</v>
      </c>
    </row>
    <row r="144" spans="1:5" x14ac:dyDescent="0.25">
      <c r="A144" s="6">
        <v>45647</v>
      </c>
      <c r="B144" s="7">
        <v>478.75</v>
      </c>
      <c r="C144" s="7">
        <v>84.95</v>
      </c>
      <c r="D144" s="9">
        <f t="shared" si="4"/>
        <v>-6.9487658162207255E-3</v>
      </c>
      <c r="E144" s="9">
        <f t="shared" si="5"/>
        <v>-1.2324148354842523E-2</v>
      </c>
    </row>
    <row r="145" spans="1:5" x14ac:dyDescent="0.25">
      <c r="A145" s="6">
        <v>45648</v>
      </c>
      <c r="B145" s="7">
        <v>481.5</v>
      </c>
      <c r="C145" s="7">
        <v>85.6</v>
      </c>
      <c r="D145" s="9">
        <f t="shared" si="4"/>
        <v>5.7441253263708081E-3</v>
      </c>
      <c r="E145" s="9">
        <f t="shared" si="5"/>
        <v>7.6515597410240499E-3</v>
      </c>
    </row>
    <row r="146" spans="1:5" x14ac:dyDescent="0.25">
      <c r="A146" s="6">
        <v>45649</v>
      </c>
      <c r="B146" s="7">
        <v>484.2</v>
      </c>
      <c r="C146" s="7">
        <v>86.45</v>
      </c>
      <c r="D146" s="9">
        <f t="shared" si="4"/>
        <v>5.6074766355140859E-3</v>
      </c>
      <c r="E146" s="9">
        <f t="shared" si="5"/>
        <v>9.9299065420561661E-3</v>
      </c>
    </row>
    <row r="147" spans="1:5" x14ac:dyDescent="0.25">
      <c r="A147" s="6">
        <v>45650</v>
      </c>
      <c r="B147" s="7">
        <v>485.9</v>
      </c>
      <c r="C147" s="7">
        <v>87.1</v>
      </c>
      <c r="D147" s="9">
        <f t="shared" si="4"/>
        <v>3.5109458901281254E-3</v>
      </c>
      <c r="E147" s="9">
        <f t="shared" si="5"/>
        <v>7.5187969924810361E-3</v>
      </c>
    </row>
    <row r="148" spans="1:5" x14ac:dyDescent="0.25">
      <c r="A148" s="6">
        <v>45651</v>
      </c>
      <c r="B148" s="7">
        <v>488</v>
      </c>
      <c r="C148" s="7">
        <v>87.75</v>
      </c>
      <c r="D148" s="9">
        <f t="shared" si="4"/>
        <v>4.3218769294093295E-3</v>
      </c>
      <c r="E148" s="9">
        <f t="shared" si="5"/>
        <v>7.4626865671643117E-3</v>
      </c>
    </row>
    <row r="149" spans="1:5" x14ac:dyDescent="0.25">
      <c r="A149" s="6">
        <v>45652</v>
      </c>
      <c r="B149" s="7">
        <v>490.15</v>
      </c>
      <c r="C149" s="7">
        <v>88.4</v>
      </c>
      <c r="D149" s="9">
        <f t="shared" si="4"/>
        <v>4.4057377049180335E-3</v>
      </c>
      <c r="E149" s="9">
        <f t="shared" si="5"/>
        <v>7.4074074074075291E-3</v>
      </c>
    </row>
    <row r="150" spans="1:5" x14ac:dyDescent="0.25">
      <c r="A150" s="6">
        <v>45653</v>
      </c>
      <c r="B150" s="7">
        <v>487.8</v>
      </c>
      <c r="C150" s="7">
        <v>87.95</v>
      </c>
      <c r="D150" s="9">
        <f t="shared" si="4"/>
        <v>-4.7944506783637042E-3</v>
      </c>
      <c r="E150" s="9">
        <f t="shared" si="5"/>
        <v>-5.090497737556543E-3</v>
      </c>
    </row>
    <row r="151" spans="1:5" x14ac:dyDescent="0.25">
      <c r="A151" s="6">
        <v>45654</v>
      </c>
      <c r="B151" s="7">
        <v>486.25</v>
      </c>
      <c r="C151" s="7">
        <v>87.2</v>
      </c>
      <c r="D151" s="9">
        <f t="shared" si="4"/>
        <v>-3.1775317753177656E-3</v>
      </c>
      <c r="E151" s="9">
        <f t="shared" si="5"/>
        <v>-8.5275724843660861E-3</v>
      </c>
    </row>
    <row r="152" spans="1:5" x14ac:dyDescent="0.25">
      <c r="A152" s="6">
        <v>45655</v>
      </c>
      <c r="B152" s="7">
        <v>480.25</v>
      </c>
      <c r="C152" s="7">
        <v>85.32</v>
      </c>
      <c r="D152" s="9">
        <f t="shared" si="4"/>
        <v>-1.2339331619537264E-2</v>
      </c>
      <c r="E152" s="9">
        <f t="shared" si="5"/>
        <v>-2.1559633027523062E-2</v>
      </c>
    </row>
    <row r="153" spans="1:5" x14ac:dyDescent="0.25">
      <c r="A153" s="6">
        <v>45656</v>
      </c>
      <c r="B153" s="7">
        <v>482.1</v>
      </c>
      <c r="C153" s="7">
        <v>86.01</v>
      </c>
      <c r="D153" s="9">
        <f t="shared" si="4"/>
        <v>3.8521603331598264E-3</v>
      </c>
      <c r="E153" s="9">
        <f t="shared" si="5"/>
        <v>8.0872011251760245E-3</v>
      </c>
    </row>
    <row r="154" spans="1:5" x14ac:dyDescent="0.25">
      <c r="A154" s="6">
        <v>45657</v>
      </c>
      <c r="B154" s="7">
        <v>478.75</v>
      </c>
      <c r="C154" s="7">
        <v>84.95</v>
      </c>
      <c r="D154" s="9">
        <f t="shared" si="4"/>
        <v>-6.9487658162207255E-3</v>
      </c>
      <c r="E154" s="9">
        <f t="shared" si="5"/>
        <v>-1.2324148354842523E-2</v>
      </c>
    </row>
    <row r="155" spans="1:5" x14ac:dyDescent="0.25">
      <c r="A155" s="6">
        <v>45658</v>
      </c>
      <c r="B155" s="7">
        <v>481.5</v>
      </c>
      <c r="C155" s="7">
        <v>85.6</v>
      </c>
      <c r="D155" s="9">
        <f t="shared" si="4"/>
        <v>5.7441253263708081E-3</v>
      </c>
      <c r="E155" s="9">
        <f t="shared" si="5"/>
        <v>7.6515597410240499E-3</v>
      </c>
    </row>
    <row r="156" spans="1:5" x14ac:dyDescent="0.25">
      <c r="A156" s="6">
        <v>45659</v>
      </c>
      <c r="B156" s="7">
        <v>484.2</v>
      </c>
      <c r="C156" s="7">
        <v>86.45</v>
      </c>
      <c r="D156" s="9">
        <f t="shared" si="4"/>
        <v>5.6074766355140859E-3</v>
      </c>
      <c r="E156" s="9">
        <f t="shared" si="5"/>
        <v>9.9299065420561661E-3</v>
      </c>
    </row>
    <row r="157" spans="1:5" x14ac:dyDescent="0.25">
      <c r="A157" s="6">
        <v>45660</v>
      </c>
      <c r="B157" s="7">
        <v>485.9</v>
      </c>
      <c r="C157" s="7">
        <v>87.1</v>
      </c>
      <c r="D157" s="9">
        <f t="shared" si="4"/>
        <v>3.5109458901281254E-3</v>
      </c>
      <c r="E157" s="9">
        <f t="shared" si="5"/>
        <v>7.5187969924810361E-3</v>
      </c>
    </row>
    <row r="158" spans="1:5" x14ac:dyDescent="0.25">
      <c r="A158" s="6">
        <v>45661</v>
      </c>
      <c r="B158" s="7">
        <v>488</v>
      </c>
      <c r="C158" s="7">
        <v>87.75</v>
      </c>
      <c r="D158" s="9">
        <f t="shared" si="4"/>
        <v>4.3218769294093295E-3</v>
      </c>
      <c r="E158" s="9">
        <f t="shared" si="5"/>
        <v>7.4626865671643117E-3</v>
      </c>
    </row>
    <row r="159" spans="1:5" x14ac:dyDescent="0.25">
      <c r="A159" s="6">
        <v>45662</v>
      </c>
      <c r="B159" s="7">
        <v>490.15</v>
      </c>
      <c r="C159" s="7">
        <v>88.4</v>
      </c>
      <c r="D159" s="9">
        <f t="shared" si="4"/>
        <v>4.4057377049180335E-3</v>
      </c>
      <c r="E159" s="9">
        <f t="shared" si="5"/>
        <v>7.4074074074075291E-3</v>
      </c>
    </row>
    <row r="160" spans="1:5" x14ac:dyDescent="0.25">
      <c r="A160" s="6">
        <v>45663</v>
      </c>
      <c r="B160" s="7">
        <v>487.8</v>
      </c>
      <c r="C160" s="7">
        <v>87.95</v>
      </c>
      <c r="D160" s="9">
        <f t="shared" si="4"/>
        <v>-4.7944506783637042E-3</v>
      </c>
      <c r="E160" s="9">
        <f t="shared" si="5"/>
        <v>-5.090497737556543E-3</v>
      </c>
    </row>
    <row r="161" spans="1:5" x14ac:dyDescent="0.25">
      <c r="A161" s="6">
        <v>45664</v>
      </c>
      <c r="B161" s="7">
        <v>486.25</v>
      </c>
      <c r="C161" s="7">
        <v>87.2</v>
      </c>
      <c r="D161" s="9">
        <f t="shared" si="4"/>
        <v>-3.1775317753177656E-3</v>
      </c>
      <c r="E161" s="9">
        <f t="shared" si="5"/>
        <v>-8.5275724843660861E-3</v>
      </c>
    </row>
    <row r="162" spans="1:5" x14ac:dyDescent="0.25">
      <c r="A162" s="6">
        <v>45665</v>
      </c>
      <c r="B162" s="7">
        <v>480.25</v>
      </c>
      <c r="C162" s="7">
        <v>85.32</v>
      </c>
      <c r="D162" s="9">
        <f t="shared" si="4"/>
        <v>-1.2339331619537264E-2</v>
      </c>
      <c r="E162" s="9">
        <f t="shared" si="5"/>
        <v>-2.1559633027523062E-2</v>
      </c>
    </row>
    <row r="163" spans="1:5" x14ac:dyDescent="0.25">
      <c r="A163" s="6">
        <v>45666</v>
      </c>
      <c r="B163" s="7">
        <v>482.1</v>
      </c>
      <c r="C163" s="7">
        <v>86.01</v>
      </c>
      <c r="D163" s="9">
        <f t="shared" si="4"/>
        <v>3.8521603331598264E-3</v>
      </c>
      <c r="E163" s="9">
        <f t="shared" si="5"/>
        <v>8.0872011251760245E-3</v>
      </c>
    </row>
    <row r="164" spans="1:5" x14ac:dyDescent="0.25">
      <c r="A164" s="6">
        <v>45667</v>
      </c>
      <c r="B164" s="7">
        <v>478.75</v>
      </c>
      <c r="C164" s="7">
        <v>84.95</v>
      </c>
      <c r="D164" s="9">
        <f t="shared" si="4"/>
        <v>-6.9487658162207255E-3</v>
      </c>
      <c r="E164" s="9">
        <f t="shared" si="5"/>
        <v>-1.2324148354842523E-2</v>
      </c>
    </row>
    <row r="165" spans="1:5" x14ac:dyDescent="0.25">
      <c r="A165" s="6">
        <v>45668</v>
      </c>
      <c r="B165" s="7">
        <v>481.5</v>
      </c>
      <c r="C165" s="7">
        <v>85.6</v>
      </c>
      <c r="D165" s="9">
        <f t="shared" si="4"/>
        <v>5.7441253263708081E-3</v>
      </c>
      <c r="E165" s="9">
        <f t="shared" si="5"/>
        <v>7.6515597410240499E-3</v>
      </c>
    </row>
    <row r="166" spans="1:5" x14ac:dyDescent="0.25">
      <c r="A166" s="6">
        <v>45669</v>
      </c>
      <c r="B166" s="7">
        <v>484.2</v>
      </c>
      <c r="C166" s="7">
        <v>86.45</v>
      </c>
      <c r="D166" s="9">
        <f t="shared" si="4"/>
        <v>5.6074766355140859E-3</v>
      </c>
      <c r="E166" s="9">
        <f t="shared" si="5"/>
        <v>9.9299065420561661E-3</v>
      </c>
    </row>
    <row r="167" spans="1:5" x14ac:dyDescent="0.25">
      <c r="A167" s="6">
        <v>45670</v>
      </c>
      <c r="B167" s="7">
        <v>485.9</v>
      </c>
      <c r="C167" s="7">
        <v>87.1</v>
      </c>
      <c r="D167" s="9">
        <f t="shared" si="4"/>
        <v>3.5109458901281254E-3</v>
      </c>
      <c r="E167" s="9">
        <f t="shared" si="5"/>
        <v>7.5187969924810361E-3</v>
      </c>
    </row>
    <row r="168" spans="1:5" x14ac:dyDescent="0.25">
      <c r="A168" s="6">
        <v>45671</v>
      </c>
      <c r="B168" s="7">
        <v>488</v>
      </c>
      <c r="C168" s="7">
        <v>87.75</v>
      </c>
      <c r="D168" s="9">
        <f t="shared" si="4"/>
        <v>4.3218769294093295E-3</v>
      </c>
      <c r="E168" s="9">
        <f t="shared" si="5"/>
        <v>7.4626865671643117E-3</v>
      </c>
    </row>
    <row r="169" spans="1:5" x14ac:dyDescent="0.25">
      <c r="A169" s="6">
        <v>45672</v>
      </c>
      <c r="B169" s="7">
        <v>490.15</v>
      </c>
      <c r="C169" s="7">
        <v>88.4</v>
      </c>
      <c r="D169" s="9">
        <f t="shared" si="4"/>
        <v>4.4057377049180335E-3</v>
      </c>
      <c r="E169" s="9">
        <f t="shared" si="5"/>
        <v>7.4074074074075291E-3</v>
      </c>
    </row>
    <row r="170" spans="1:5" x14ac:dyDescent="0.25">
      <c r="A170" s="6">
        <v>45673</v>
      </c>
      <c r="B170" s="7">
        <v>487.8</v>
      </c>
      <c r="C170" s="7">
        <v>87.95</v>
      </c>
      <c r="D170" s="9">
        <f t="shared" si="4"/>
        <v>-4.7944506783637042E-3</v>
      </c>
      <c r="E170" s="9">
        <f t="shared" si="5"/>
        <v>-5.090497737556543E-3</v>
      </c>
    </row>
    <row r="171" spans="1:5" x14ac:dyDescent="0.25">
      <c r="A171" s="6">
        <v>45674</v>
      </c>
      <c r="B171" s="7">
        <v>486.25</v>
      </c>
      <c r="C171" s="7">
        <v>87.2</v>
      </c>
      <c r="D171" s="9">
        <f t="shared" si="4"/>
        <v>-3.1775317753177656E-3</v>
      </c>
      <c r="E171" s="9">
        <f t="shared" si="5"/>
        <v>-8.5275724843660861E-3</v>
      </c>
    </row>
    <row r="172" spans="1:5" x14ac:dyDescent="0.25">
      <c r="A172" s="6">
        <v>45675</v>
      </c>
      <c r="B172" s="7">
        <v>480.25</v>
      </c>
      <c r="C172" s="7">
        <v>85.32</v>
      </c>
      <c r="D172" s="9">
        <f t="shared" si="4"/>
        <v>-1.2339331619537264E-2</v>
      </c>
      <c r="E172" s="9">
        <f t="shared" si="5"/>
        <v>-2.1559633027523062E-2</v>
      </c>
    </row>
    <row r="173" spans="1:5" x14ac:dyDescent="0.25">
      <c r="A173" s="6">
        <v>45676</v>
      </c>
      <c r="B173" s="7">
        <v>482.1</v>
      </c>
      <c r="C173" s="7">
        <v>86.01</v>
      </c>
      <c r="D173" s="9">
        <f t="shared" si="4"/>
        <v>3.8521603331598264E-3</v>
      </c>
      <c r="E173" s="9">
        <f t="shared" si="5"/>
        <v>8.0872011251760245E-3</v>
      </c>
    </row>
    <row r="174" spans="1:5" x14ac:dyDescent="0.25">
      <c r="A174" s="6">
        <v>45677</v>
      </c>
      <c r="B174" s="7">
        <v>478.75</v>
      </c>
      <c r="C174" s="7">
        <v>84.95</v>
      </c>
      <c r="D174" s="9">
        <f t="shared" si="4"/>
        <v>-6.9487658162207255E-3</v>
      </c>
      <c r="E174" s="9">
        <f t="shared" si="5"/>
        <v>-1.2324148354842523E-2</v>
      </c>
    </row>
    <row r="175" spans="1:5" x14ac:dyDescent="0.25">
      <c r="A175" s="6">
        <v>45678</v>
      </c>
      <c r="B175" s="7">
        <v>481.5</v>
      </c>
      <c r="C175" s="7">
        <v>85.6</v>
      </c>
      <c r="D175" s="9">
        <f t="shared" si="4"/>
        <v>5.7441253263708081E-3</v>
      </c>
      <c r="E175" s="9">
        <f t="shared" si="5"/>
        <v>7.6515597410240499E-3</v>
      </c>
    </row>
    <row r="176" spans="1:5" x14ac:dyDescent="0.25">
      <c r="A176" s="6">
        <v>45679</v>
      </c>
      <c r="B176" s="7">
        <v>484.2</v>
      </c>
      <c r="C176" s="7">
        <v>86.45</v>
      </c>
      <c r="D176" s="9">
        <f t="shared" si="4"/>
        <v>5.6074766355140859E-3</v>
      </c>
      <c r="E176" s="9">
        <f t="shared" si="5"/>
        <v>9.9299065420561661E-3</v>
      </c>
    </row>
    <row r="177" spans="1:5" x14ac:dyDescent="0.25">
      <c r="A177" s="6">
        <v>45680</v>
      </c>
      <c r="B177" s="7">
        <v>485.9</v>
      </c>
      <c r="C177" s="7">
        <v>87.1</v>
      </c>
      <c r="D177" s="9">
        <f t="shared" si="4"/>
        <v>3.5109458901281254E-3</v>
      </c>
      <c r="E177" s="9">
        <f t="shared" si="5"/>
        <v>7.5187969924810361E-3</v>
      </c>
    </row>
    <row r="178" spans="1:5" x14ac:dyDescent="0.25">
      <c r="A178" s="6">
        <v>45681</v>
      </c>
      <c r="B178" s="7">
        <v>488</v>
      </c>
      <c r="C178" s="7">
        <v>87.75</v>
      </c>
      <c r="D178" s="9">
        <f t="shared" si="4"/>
        <v>4.3218769294093295E-3</v>
      </c>
      <c r="E178" s="9">
        <f t="shared" si="5"/>
        <v>7.4626865671643117E-3</v>
      </c>
    </row>
    <row r="179" spans="1:5" x14ac:dyDescent="0.25">
      <c r="A179" s="6">
        <v>45682</v>
      </c>
      <c r="B179" s="7">
        <v>490.15</v>
      </c>
      <c r="C179" s="7">
        <v>88.4</v>
      </c>
      <c r="D179" s="9">
        <f t="shared" si="4"/>
        <v>4.4057377049180335E-3</v>
      </c>
      <c r="E179" s="9">
        <f t="shared" si="5"/>
        <v>7.4074074074075291E-3</v>
      </c>
    </row>
    <row r="180" spans="1:5" x14ac:dyDescent="0.25">
      <c r="A180" s="6">
        <v>45683</v>
      </c>
      <c r="B180" s="7">
        <v>487.8</v>
      </c>
      <c r="C180" s="7">
        <v>87.95</v>
      </c>
      <c r="D180" s="9">
        <f t="shared" si="4"/>
        <v>-4.7944506783637042E-3</v>
      </c>
      <c r="E180" s="9">
        <f t="shared" si="5"/>
        <v>-5.090497737556543E-3</v>
      </c>
    </row>
    <row r="181" spans="1:5" x14ac:dyDescent="0.25">
      <c r="A181" s="6">
        <v>45684</v>
      </c>
      <c r="B181" s="7">
        <v>486.25</v>
      </c>
      <c r="C181" s="7">
        <v>87.2</v>
      </c>
      <c r="D181" s="9">
        <f t="shared" si="4"/>
        <v>-3.1775317753177656E-3</v>
      </c>
      <c r="E181" s="9">
        <f t="shared" si="5"/>
        <v>-8.5275724843660861E-3</v>
      </c>
    </row>
    <row r="182" spans="1:5" x14ac:dyDescent="0.25">
      <c r="A182" s="6">
        <v>45685</v>
      </c>
      <c r="B182" s="7">
        <v>480.25</v>
      </c>
      <c r="C182" s="7">
        <v>85.32</v>
      </c>
      <c r="D182" s="9">
        <f t="shared" si="4"/>
        <v>-1.2339331619537264E-2</v>
      </c>
      <c r="E182" s="9">
        <f t="shared" si="5"/>
        <v>-2.1559633027523062E-2</v>
      </c>
    </row>
    <row r="183" spans="1:5" x14ac:dyDescent="0.25">
      <c r="A183" s="6">
        <v>45686</v>
      </c>
      <c r="B183" s="7">
        <v>482.1</v>
      </c>
      <c r="C183" s="7">
        <v>86.01</v>
      </c>
      <c r="D183" s="9">
        <f t="shared" si="4"/>
        <v>3.8521603331598264E-3</v>
      </c>
      <c r="E183" s="9">
        <f t="shared" si="5"/>
        <v>8.0872011251760245E-3</v>
      </c>
    </row>
    <row r="184" spans="1:5" x14ac:dyDescent="0.25">
      <c r="A184" s="6">
        <v>45687</v>
      </c>
      <c r="B184" s="7">
        <v>478.75</v>
      </c>
      <c r="C184" s="7">
        <v>84.95</v>
      </c>
      <c r="D184" s="9">
        <f t="shared" si="4"/>
        <v>-6.9487658162207255E-3</v>
      </c>
      <c r="E184" s="9">
        <f t="shared" si="5"/>
        <v>-1.2324148354842523E-2</v>
      </c>
    </row>
    <row r="185" spans="1:5" x14ac:dyDescent="0.25">
      <c r="A185" s="6">
        <v>45688</v>
      </c>
      <c r="B185" s="7">
        <v>481.5</v>
      </c>
      <c r="C185" s="7">
        <v>85.6</v>
      </c>
      <c r="D185" s="9">
        <f t="shared" si="4"/>
        <v>5.7441253263708081E-3</v>
      </c>
      <c r="E185" s="9">
        <f t="shared" si="5"/>
        <v>7.6515597410240499E-3</v>
      </c>
    </row>
    <row r="186" spans="1:5" x14ac:dyDescent="0.25">
      <c r="A186" s="6">
        <v>45689</v>
      </c>
      <c r="B186" s="7">
        <v>484.2</v>
      </c>
      <c r="C186" s="7">
        <v>86.45</v>
      </c>
      <c r="D186" s="9">
        <f t="shared" si="4"/>
        <v>5.6074766355140859E-3</v>
      </c>
      <c r="E186" s="9">
        <f t="shared" si="5"/>
        <v>9.9299065420561661E-3</v>
      </c>
    </row>
    <row r="187" spans="1:5" x14ac:dyDescent="0.25">
      <c r="A187" s="6">
        <v>45690</v>
      </c>
      <c r="B187" s="7">
        <v>485.9</v>
      </c>
      <c r="C187" s="7">
        <v>87.1</v>
      </c>
      <c r="D187" s="9">
        <f t="shared" si="4"/>
        <v>3.5109458901281254E-3</v>
      </c>
      <c r="E187" s="9">
        <f t="shared" si="5"/>
        <v>7.5187969924810361E-3</v>
      </c>
    </row>
    <row r="188" spans="1:5" x14ac:dyDescent="0.25">
      <c r="A188" s="6">
        <v>45691</v>
      </c>
      <c r="B188" s="7">
        <v>488</v>
      </c>
      <c r="C188" s="7">
        <v>87.75</v>
      </c>
      <c r="D188" s="9">
        <f t="shared" si="4"/>
        <v>4.3218769294093295E-3</v>
      </c>
      <c r="E188" s="9">
        <f t="shared" si="5"/>
        <v>7.4626865671643117E-3</v>
      </c>
    </row>
    <row r="189" spans="1:5" x14ac:dyDescent="0.25">
      <c r="A189" s="6">
        <v>45692</v>
      </c>
      <c r="B189" s="7">
        <v>490.15</v>
      </c>
      <c r="C189" s="7">
        <v>88.4</v>
      </c>
      <c r="D189" s="9">
        <f t="shared" si="4"/>
        <v>4.4057377049180335E-3</v>
      </c>
      <c r="E189" s="9">
        <f t="shared" si="5"/>
        <v>7.4074074074075291E-3</v>
      </c>
    </row>
    <row r="190" spans="1:5" x14ac:dyDescent="0.25">
      <c r="A190" s="6">
        <v>45693</v>
      </c>
      <c r="B190" s="7">
        <v>487.8</v>
      </c>
      <c r="C190" s="7">
        <v>87.95</v>
      </c>
      <c r="D190" s="9">
        <f t="shared" si="4"/>
        <v>-4.7944506783637042E-3</v>
      </c>
      <c r="E190" s="9">
        <f t="shared" si="5"/>
        <v>-5.090497737556543E-3</v>
      </c>
    </row>
    <row r="191" spans="1:5" x14ac:dyDescent="0.25">
      <c r="A191" s="6">
        <v>45694</v>
      </c>
      <c r="B191" s="7">
        <v>486.25</v>
      </c>
      <c r="C191" s="7">
        <v>87.2</v>
      </c>
      <c r="D191" s="9">
        <f t="shared" si="4"/>
        <v>-3.1775317753177656E-3</v>
      </c>
      <c r="E191" s="9">
        <f t="shared" si="5"/>
        <v>-8.5275724843660861E-3</v>
      </c>
    </row>
    <row r="192" spans="1:5" x14ac:dyDescent="0.25">
      <c r="A192" s="6">
        <v>45695</v>
      </c>
      <c r="B192" s="7">
        <v>480.25</v>
      </c>
      <c r="C192" s="7">
        <v>85.32</v>
      </c>
      <c r="D192" s="9">
        <f t="shared" si="4"/>
        <v>-1.2339331619537264E-2</v>
      </c>
      <c r="E192" s="9">
        <f t="shared" si="5"/>
        <v>-2.1559633027523062E-2</v>
      </c>
    </row>
    <row r="193" spans="1:5" x14ac:dyDescent="0.25">
      <c r="A193" s="6">
        <v>45696</v>
      </c>
      <c r="B193" s="7">
        <v>482.1</v>
      </c>
      <c r="C193" s="7">
        <v>86.01</v>
      </c>
      <c r="D193" s="9">
        <f t="shared" si="4"/>
        <v>3.8521603331598264E-3</v>
      </c>
      <c r="E193" s="9">
        <f t="shared" si="5"/>
        <v>8.0872011251760245E-3</v>
      </c>
    </row>
    <row r="194" spans="1:5" x14ac:dyDescent="0.25">
      <c r="A194" s="6">
        <v>45697</v>
      </c>
      <c r="B194" s="7">
        <v>478.75</v>
      </c>
      <c r="C194" s="7">
        <v>84.95</v>
      </c>
      <c r="D194" s="9">
        <f t="shared" si="4"/>
        <v>-6.9487658162207255E-3</v>
      </c>
      <c r="E194" s="9">
        <f t="shared" si="5"/>
        <v>-1.2324148354842523E-2</v>
      </c>
    </row>
    <row r="195" spans="1:5" x14ac:dyDescent="0.25">
      <c r="A195" s="6">
        <v>45698</v>
      </c>
      <c r="B195" s="7">
        <v>481.5</v>
      </c>
      <c r="C195" s="7">
        <v>85.6</v>
      </c>
      <c r="D195" s="9">
        <f t="shared" si="4"/>
        <v>5.7441253263708081E-3</v>
      </c>
      <c r="E195" s="9">
        <f t="shared" si="5"/>
        <v>7.6515597410240499E-3</v>
      </c>
    </row>
    <row r="196" spans="1:5" x14ac:dyDescent="0.25">
      <c r="A196" s="6">
        <v>45699</v>
      </c>
      <c r="B196" s="7">
        <v>484.2</v>
      </c>
      <c r="C196" s="7">
        <v>86.45</v>
      </c>
      <c r="D196" s="9">
        <f t="shared" ref="D196:D201" si="6">B196/B195-1</f>
        <v>5.6074766355140859E-3</v>
      </c>
      <c r="E196" s="9">
        <f t="shared" ref="E196:E201" si="7">C196/C195-1</f>
        <v>9.9299065420561661E-3</v>
      </c>
    </row>
    <row r="197" spans="1:5" x14ac:dyDescent="0.25">
      <c r="A197" s="6">
        <v>45700</v>
      </c>
      <c r="B197" s="7">
        <v>485.9</v>
      </c>
      <c r="C197" s="7">
        <v>87.1</v>
      </c>
      <c r="D197" s="9">
        <f t="shared" si="6"/>
        <v>3.5109458901281254E-3</v>
      </c>
      <c r="E197" s="9">
        <f t="shared" si="7"/>
        <v>7.5187969924810361E-3</v>
      </c>
    </row>
    <row r="198" spans="1:5" x14ac:dyDescent="0.25">
      <c r="A198" s="6">
        <v>45701</v>
      </c>
      <c r="B198" s="7">
        <v>488</v>
      </c>
      <c r="C198" s="7">
        <v>87.75</v>
      </c>
      <c r="D198" s="9">
        <f t="shared" si="6"/>
        <v>4.3218769294093295E-3</v>
      </c>
      <c r="E198" s="9">
        <f t="shared" si="7"/>
        <v>7.4626865671643117E-3</v>
      </c>
    </row>
    <row r="199" spans="1:5" x14ac:dyDescent="0.25">
      <c r="A199" s="6">
        <v>45702</v>
      </c>
      <c r="B199" s="7">
        <v>490.15</v>
      </c>
      <c r="C199" s="7">
        <v>88.4</v>
      </c>
      <c r="D199" s="9">
        <f t="shared" si="6"/>
        <v>4.4057377049180335E-3</v>
      </c>
      <c r="E199" s="9">
        <f t="shared" si="7"/>
        <v>7.4074074074075291E-3</v>
      </c>
    </row>
    <row r="200" spans="1:5" x14ac:dyDescent="0.25">
      <c r="A200" s="6">
        <v>45703</v>
      </c>
      <c r="B200" s="7">
        <v>487.8</v>
      </c>
      <c r="C200" s="7">
        <v>87.95</v>
      </c>
      <c r="D200" s="9">
        <f t="shared" si="6"/>
        <v>-4.7944506783637042E-3</v>
      </c>
      <c r="E200" s="9">
        <f t="shared" si="7"/>
        <v>-5.090497737556543E-3</v>
      </c>
    </row>
    <row r="201" spans="1:5" x14ac:dyDescent="0.25">
      <c r="A201" s="6">
        <v>45704</v>
      </c>
      <c r="B201" s="7">
        <v>486.25</v>
      </c>
      <c r="C201" s="7">
        <v>87.2</v>
      </c>
      <c r="D201" s="9">
        <f t="shared" si="6"/>
        <v>-3.1775317753177656E-3</v>
      </c>
      <c r="E201" s="9">
        <f t="shared" si="7"/>
        <v>-8.5275724843660861E-3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020C-C0E7-4792-822F-3ED5D4CCF5F8}">
  <dimension ref="A1:A6"/>
  <sheetViews>
    <sheetView tabSelected="1" workbookViewId="0">
      <selection activeCell="M13" sqref="M13"/>
    </sheetView>
  </sheetViews>
  <sheetFormatPr defaultRowHeight="15" x14ac:dyDescent="0.25"/>
  <cols>
    <col min="1" max="1" width="13.5703125" customWidth="1"/>
  </cols>
  <sheetData>
    <row r="1" spans="1:1" x14ac:dyDescent="0.25">
      <c r="A1" t="s">
        <v>10</v>
      </c>
    </row>
    <row r="2" spans="1:1" x14ac:dyDescent="0.25">
      <c r="A2" s="4">
        <v>2000000</v>
      </c>
    </row>
    <row r="3" spans="1:1" x14ac:dyDescent="0.25">
      <c r="A3" s="4">
        <v>500000</v>
      </c>
    </row>
    <row r="4" spans="1:1" x14ac:dyDescent="0.25">
      <c r="A4" s="4">
        <v>300000</v>
      </c>
    </row>
    <row r="5" spans="1:1" x14ac:dyDescent="0.25">
      <c r="A5" s="4">
        <v>100000</v>
      </c>
    </row>
    <row r="6" spans="1:1" x14ac:dyDescent="0.25">
      <c r="A6" s="4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Geomean</vt:lpstr>
      <vt:lpstr>Stock_oil_prices</vt:lpstr>
      <vt:lpstr>House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Yihui Lan</dc:creator>
  <cp:lastModifiedBy>YL</cp:lastModifiedBy>
  <dcterms:created xsi:type="dcterms:W3CDTF">2019-02-26T05:11:33Z</dcterms:created>
  <dcterms:modified xsi:type="dcterms:W3CDTF">2025-02-25T08:44:38Z</dcterms:modified>
</cp:coreProperties>
</file>